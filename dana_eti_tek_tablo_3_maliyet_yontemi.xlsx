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na_Eti_Tek_Tablo" sheetId="1" r:id="rId1"/>
  </sheets>
  <calcPr calcMode="auto" fullCalcOnLoad="1" forceFullCalc="1"/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Calibri"/>
    </font>
    <font>
      <b/>
      <color rgb="FF1F2937"/>
      <sz val="16"/>
      <name val="Calibri"/>
    </font>
    <font>
      <b/>
      <color rgb="FF1F2937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F3E8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8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</sheetView>
  </sheetViews>
  <sheetFormatPr defaultRowHeight="15"/>
  <cols>
    <col min="1" max="1" width="6" customWidth="1"/>
    <col min="2" max="2" width="18" customWidth="1"/>
    <col min="3" max="3" width="13" customWidth="1"/>
    <col min="4" max="4" width="18" customWidth="1"/>
    <col min="5" max="7" width="13" customWidth="1"/>
    <col min="8" max="8" width="42" customWidth="1"/>
    <col min="9" max="31" width="16" customWidth="1"/>
  </cols>
  <sheetData>
    <row r="1" ht="24" customHeight="1">
      <c r="A1" s="1" t="inlineStr">
        <is>
          <t>Dana Eti - Tek Tabloda 3 Maliyet Yöntemi Simülasyonu</t>
        </is>
      </c>
    </row>
    <row r="2" ht="18" customHeight="1">
      <c r="A2" s="2" t="inlineStr">
        <is>
          <t>Tablo nesnesi kullanılmadı; renkli kolon grupları normal hücre aralığıdır. Negatif stok satırları ayrıca işaretlenmiştir.</t>
        </is>
      </c>
    </row>
    <row r="3" ht="18" customHeight="1">
      <c r="A3" s="15" t="inlineStr">
        <is>
          <t>Resmi maliyet yöntemi seçimi</t>
        </is>
      </c>
      <c r="B3" s="3" t="inlineStr">
        <is>
          <t>Ağırlıklı Ortalama</t>
        </is>
      </c>
      <c r="D3" s="15" t="inlineStr">
        <is>
          <t>B3 hücresinden yöntemi değiştir: Ağırlıklı Ortalama / FIFO / Son Alış</t>
        </is>
      </c>
    </row>
    <row r="4" ht="18" customHeight="1">
      <c r="A4" s="15" t="inlineStr">
        <is>
          <t>Ürün</t>
        </is>
      </c>
      <c r="B4" s="3" t="inlineStr">
        <is>
          <t>Dana eti</t>
        </is>
      </c>
      <c r="D4" s="15" t="inlineStr">
        <is>
          <t>Birim</t>
        </is>
      </c>
      <c r="E4" s="3" t="inlineStr">
        <is>
          <t>kg</t>
        </is>
      </c>
    </row>
    <row r="5" ht="18" customHeight="1">
      <c r="A5" s="15" t="inlineStr">
        <is>
          <t>Renkler</t>
        </is>
      </c>
      <c r="B5" s="15" t="inlineStr">
        <is>
          <t>Gri: ortak hareket, Mavi: ağırlıklı ortalama, Yeşil: FIFO, Turuncu: son alış, Mor: seçili resmi yöntem</t>
        </is>
      </c>
    </row>
    <row r="6" ht="8" customHeight="1"/>
    <row r="7" ht="20" customHeight="1">
      <c r="A7" s="4" t="inlineStr">
        <is>
          <t>Ortak hareket verisi</t>
        </is>
      </c>
      <c r="I7" s="6" t="inlineStr">
        <is>
          <t>Ağırlıklı Ortalama / WAC</t>
        </is>
      </c>
      <c r="P7" s="8" t="inlineStr">
        <is>
          <t>FIFO</t>
        </is>
      </c>
      <c r="W7" s="10" t="inlineStr">
        <is>
          <t>Son Alış Fiyatı</t>
        </is>
      </c>
      <c r="AA7" s="12" t="inlineStr">
        <is>
          <t>Seçili resmi yöntem</t>
        </is>
      </c>
    </row>
    <row r="8" ht="36" customHeight="1">
      <c r="A8" s="4" t="inlineStr">
        <is>
          <t>No</t>
        </is>
      </c>
      <c r="B8" s="4" t="inlineStr">
        <is>
          <t>Tarih/Saat</t>
        </is>
      </c>
      <c r="C8" s="4" t="inlineStr">
        <is>
          <t>Hareket ID</t>
        </is>
      </c>
      <c r="D8" s="4" t="inlineStr">
        <is>
          <t>Hareket Tipi</t>
        </is>
      </c>
      <c r="E8" s="4" t="inlineStr">
        <is>
          <t>Girdi kg</t>
        </is>
      </c>
      <c r="F8" s="4" t="inlineStr">
        <is>
          <t>Çıktı kg</t>
        </is>
      </c>
      <c r="G8" s="4" t="inlineStr">
        <is>
          <t>Alış birim fiyatı</t>
        </is>
      </c>
      <c r="H8" s="4" t="inlineStr">
        <is>
          <t>Açıklama</t>
        </is>
      </c>
      <c r="I8" s="6" t="inlineStr">
        <is>
          <t>WAC önceki kg</t>
        </is>
      </c>
      <c r="J8" s="6" t="inlineStr">
        <is>
          <t>WAC önceki değer</t>
        </is>
      </c>
      <c r="K8" s="6" t="inlineStr">
        <is>
          <t>WAC çıkış birim</t>
        </is>
      </c>
      <c r="L8" s="6" t="inlineStr">
        <is>
          <t>WAC hareket maliyeti</t>
        </is>
      </c>
      <c r="M8" s="6" t="inlineStr">
        <is>
          <t>WAC bakiye kg</t>
        </is>
      </c>
      <c r="N8" s="6" t="inlineStr">
        <is>
          <t>WAC bakiye değer</t>
        </is>
      </c>
      <c r="O8" s="6" t="inlineStr">
        <is>
          <t>WAC ortalama birim</t>
        </is>
      </c>
      <c r="P8" s="8" t="inlineStr">
        <is>
          <t>FIFO çıkış birim</t>
        </is>
      </c>
      <c r="Q8" s="8" t="inlineStr">
        <is>
          <t>FIFO hareket maliyeti</t>
        </is>
      </c>
      <c r="R8" s="8" t="inlineStr">
        <is>
          <t>FIFO açık lot kg</t>
        </is>
      </c>
      <c r="S8" s="8" t="inlineStr">
        <is>
          <t>FIFO açık lot değeri</t>
        </is>
      </c>
      <c r="T8" s="8" t="inlineStr">
        <is>
          <t>FIFO negatif kg</t>
        </is>
      </c>
      <c r="U8" s="8" t="inlineStr">
        <is>
          <t>FIFO negatif birim</t>
        </is>
      </c>
      <c r="V8" s="8" t="inlineStr">
        <is>
          <t>FIFO notu</t>
        </is>
      </c>
      <c r="W8" s="10" t="inlineStr">
        <is>
          <t>Son alış birim</t>
        </is>
      </c>
      <c r="X8" s="10" t="inlineStr">
        <is>
          <t>Son alış hareket maliyeti</t>
        </is>
      </c>
      <c r="Y8" s="10" t="inlineStr">
        <is>
          <t>Son alış bakiye kg</t>
        </is>
      </c>
      <c r="Z8" s="10" t="inlineStr">
        <is>
          <t>Son alış bakiye değer</t>
        </is>
      </c>
      <c r="AA8" s="12" t="inlineStr">
        <is>
          <t>Seçili yöntem birim</t>
        </is>
      </c>
      <c r="AB8" s="12" t="inlineStr">
        <is>
          <t>Seçili yöntem hareket maliyeti</t>
        </is>
      </c>
      <c r="AC8" s="12" t="inlineStr">
        <is>
          <t>Seçili yöntem bakiye kg</t>
        </is>
      </c>
      <c r="AD8" s="12" t="inlineStr">
        <is>
          <t>Seçili yöntem bakiye değer</t>
        </is>
      </c>
      <c r="AE8" s="12" t="inlineStr">
        <is>
          <t>Stok durumu</t>
        </is>
      </c>
    </row>
    <row r="9" ht="18" customHeight="1">
      <c r="A9" s="5">
        <v>1</v>
      </c>
      <c r="B9" s="5" t="inlineStr">
        <is>
          <t>2026-06-01 09:00</t>
        </is>
      </c>
      <c r="C9" s="5" t="inlineStr">
        <is>
          <t>GR-001</t>
        </is>
      </c>
      <c r="D9" s="5" t="inlineStr">
        <is>
          <t>Alış girişi</t>
        </is>
      </c>
      <c r="E9" s="5">
        <v>60</v>
      </c>
      <c r="F9" s="5"/>
      <c r="G9" s="5">
        <v>420</v>
      </c>
      <c r="H9" s="5" t="inlineStr">
        <is>
          <t>İlk Dana eti alımı</t>
        </is>
      </c>
      <c r="I9" s="7">
        <f>0</f>
      </c>
      <c r="J9" s="7">
        <f>0</f>
      </c>
      <c r="K9" s="7">
        <f>IF(F9&gt;0,IF(0&gt;0,0,G9),"")</f>
      </c>
      <c r="L9" s="7">
        <f>IF(E9&gt;0,E9*G9,IF(F9&gt;0,F9*K9,0))</f>
      </c>
      <c r="M9" s="7">
        <f>I9+E9-F9</f>
      </c>
      <c r="N9" s="7">
        <f>IF(E9&gt;0,IF(I9&lt;0,M9*G9,J9+E9*G9),J9-L9)</f>
      </c>
      <c r="O9" s="7">
        <f>IF(M9&lt;&gt;0,N9/M9,IF(E9&gt;0,G9,0))</f>
      </c>
      <c r="P9" s="9"/>
      <c r="Q9" s="9">
        <v>25200</v>
      </c>
      <c r="R9" s="9">
        <v>60</v>
      </c>
      <c r="S9" s="9">
        <v>25200</v>
      </c>
      <c r="T9" s="9"/>
      <c r="U9" s="9"/>
      <c r="V9" s="9" t="inlineStr">
        <is>
          <t>60 kg yeni FIFO lotu açıldı</t>
        </is>
      </c>
      <c r="W9" s="11">
        <f>IF(E9&gt;0,G9,0)</f>
      </c>
      <c r="X9" s="11">
        <f>IF(E9&gt;0,E9*G9,IF(F9&gt;0,F9*W9,0))</f>
      </c>
      <c r="Y9" s="11">
        <f>0+E9-F9</f>
      </c>
      <c r="Z9" s="11">
        <f>Y9*W9</f>
      </c>
      <c r="AA9" s="13">
        <f>IF($B$3="FIFO",P9,IF($B$3="Son Alış",W9,O9))</f>
      </c>
      <c r="AB9" s="13">
        <f>IF($B$3="FIFO",Q9,IF($B$3="Son Alış",X9,L9))</f>
      </c>
      <c r="AC9" s="13">
        <f>IF($B$3="FIFO",R9,IF($B$3="Son Alış",Y9,M9))</f>
      </c>
      <c r="AD9" s="13">
        <f>IF($B$3="FIFO",S9,IF($B$3="Son Alış",Z9,N9))</f>
      </c>
      <c r="AE9" s="13">
        <f>IF(AC9&lt;0,"NEGATİF STOK","OK")</f>
      </c>
    </row>
    <row r="10" ht="18" customHeight="1">
      <c r="A10" s="5">
        <v>2</v>
      </c>
      <c r="B10" s="5" t="inlineStr">
        <is>
          <t>2026-06-01 13:00</t>
        </is>
      </c>
      <c r="C10" s="5" t="inlineStr">
        <is>
          <t>CK-001</t>
        </is>
      </c>
      <c r="D10" s="5" t="inlineStr">
        <is>
          <t>Reçete tüketimi</t>
        </is>
      </c>
      <c r="E10" s="5"/>
      <c r="F10" s="5">
        <v>22</v>
      </c>
      <c r="G10" s="5"/>
      <c r="H10" s="5" t="inlineStr">
        <is>
          <t>Öğle servis tüketimi</t>
        </is>
      </c>
      <c r="I10" s="7">
        <f>M9</f>
      </c>
      <c r="J10" s="7">
        <f>N9</f>
      </c>
      <c r="K10" s="7">
        <f>IF(F10&gt;0,IF(O9&gt;0,O9,G10),"")</f>
      </c>
      <c r="L10" s="7">
        <f>IF(E10&gt;0,E10*G10,IF(F10&gt;0,F10*K10,0))</f>
      </c>
      <c r="M10" s="7">
        <f>I10+E10-F10</f>
      </c>
      <c r="N10" s="7">
        <f>IF(E10&gt;0,IF(I10&lt;0,M10*G10,J10+E10*G10),J10-L10)</f>
      </c>
      <c r="O10" s="7">
        <f>IF(M10&lt;&gt;0,N10/M10,IF(E10&gt;0,G10,O9))</f>
      </c>
      <c r="P10" s="9">
        <v>420</v>
      </c>
      <c r="Q10" s="9">
        <v>9240</v>
      </c>
      <c r="R10" s="9">
        <v>38</v>
      </c>
      <c r="S10" s="9">
        <v>15960</v>
      </c>
      <c r="T10" s="9"/>
      <c r="U10" s="9"/>
      <c r="V10" s="9"/>
      <c r="W10" s="11">
        <f>IF(E10&gt;0,G10,W9)</f>
      </c>
      <c r="X10" s="11">
        <f>IF(E10&gt;0,E10*G10,IF(F10&gt;0,F10*W10,0))</f>
      </c>
      <c r="Y10" s="11">
        <f>Y9+E10-F10</f>
      </c>
      <c r="Z10" s="11">
        <f>Y10*W10</f>
      </c>
      <c r="AA10" s="13">
        <f>IF($B$3="FIFO",P10,IF($B$3="Son Alış",W10,O10))</f>
      </c>
      <c r="AB10" s="13">
        <f>IF($B$3="FIFO",Q10,IF($B$3="Son Alış",X10,L10))</f>
      </c>
      <c r="AC10" s="13">
        <f>IF($B$3="FIFO",R10,IF($B$3="Son Alış",Y10,M10))</f>
      </c>
      <c r="AD10" s="13">
        <f>IF($B$3="FIFO",S10,IF($B$3="Son Alış",Z10,N10))</f>
      </c>
      <c r="AE10" s="13">
        <f>IF(AC10&lt;0,"NEGATİF STOK","OK")</f>
      </c>
    </row>
    <row r="11" ht="18" customHeight="1">
      <c r="A11" s="5">
        <v>3</v>
      </c>
      <c r="B11" s="5" t="inlineStr">
        <is>
          <t>2026-06-02 20:30</t>
        </is>
      </c>
      <c r="C11" s="5" t="inlineStr">
        <is>
          <t>CK-002</t>
        </is>
      </c>
      <c r="D11" s="5" t="inlineStr">
        <is>
          <t>Reçete tüketimi</t>
        </is>
      </c>
      <c r="E11" s="5"/>
      <c r="F11" s="5">
        <v>30</v>
      </c>
      <c r="G11" s="5"/>
      <c r="H11" s="5" t="inlineStr">
        <is>
          <t>Akşam servis tüketimi</t>
        </is>
      </c>
      <c r="I11" s="7">
        <f>M10</f>
      </c>
      <c r="J11" s="7">
        <f>N10</f>
      </c>
      <c r="K11" s="7">
        <f>IF(F11&gt;0,IF(O10&gt;0,O10,G11),"")</f>
      </c>
      <c r="L11" s="7">
        <f>IF(E11&gt;0,E11*G11,IF(F11&gt;0,F11*K11,0))</f>
      </c>
      <c r="M11" s="7">
        <f>I11+E11-F11</f>
      </c>
      <c r="N11" s="7">
        <f>IF(E11&gt;0,IF(I11&lt;0,M11*G11,J11+E11*G11),J11-L11)</f>
      </c>
      <c r="O11" s="7">
        <f>IF(M11&lt;&gt;0,N11/M11,IF(E11&gt;0,G11,O10))</f>
      </c>
      <c r="P11" s="9">
        <v>420</v>
      </c>
      <c r="Q11" s="9">
        <v>12600</v>
      </c>
      <c r="R11" s="9">
        <v>8</v>
      </c>
      <c r="S11" s="9">
        <v>3360</v>
      </c>
      <c r="T11" s="9"/>
      <c r="U11" s="9"/>
      <c r="V11" s="9"/>
      <c r="W11" s="11">
        <f>IF(E11&gt;0,G11,W10)</f>
      </c>
      <c r="X11" s="11">
        <f>IF(E11&gt;0,E11*G11,IF(F11&gt;0,F11*W11,0))</f>
      </c>
      <c r="Y11" s="11">
        <f>Y10+E11-F11</f>
      </c>
      <c r="Z11" s="11">
        <f>Y11*W11</f>
      </c>
      <c r="AA11" s="13">
        <f>IF($B$3="FIFO",P11,IF($B$3="Son Alış",W11,O11))</f>
      </c>
      <c r="AB11" s="13">
        <f>IF($B$3="FIFO",Q11,IF($B$3="Son Alış",X11,L11))</f>
      </c>
      <c r="AC11" s="13">
        <f>IF($B$3="FIFO",R11,IF($B$3="Son Alış",Y11,M11))</f>
      </c>
      <c r="AD11" s="13">
        <f>IF($B$3="FIFO",S11,IF($B$3="Son Alış",Z11,N11))</f>
      </c>
      <c r="AE11" s="13">
        <f>IF(AC11&lt;0,"NEGATİF STOK","OK")</f>
      </c>
    </row>
    <row r="12" ht="18" customHeight="1">
      <c r="A12" s="5">
        <v>4</v>
      </c>
      <c r="B12" s="5" t="inlineStr">
        <is>
          <t>2026-06-03 10:15</t>
        </is>
      </c>
      <c r="C12" s="5" t="inlineStr">
        <is>
          <t>GR-002</t>
        </is>
      </c>
      <c r="D12" s="5" t="inlineStr">
        <is>
          <t>Alış girişi</t>
        </is>
      </c>
      <c r="E12" s="5">
        <v>40</v>
      </c>
      <c r="F12" s="5"/>
      <c r="G12" s="5">
        <v>455</v>
      </c>
      <c r="H12" s="5" t="inlineStr">
        <is>
          <t>Fiyat artışlı alım</t>
        </is>
      </c>
      <c r="I12" s="7">
        <f>M11</f>
      </c>
      <c r="J12" s="7">
        <f>N11</f>
      </c>
      <c r="K12" s="7">
        <f>IF(F12&gt;0,IF(O11&gt;0,O11,G12),"")</f>
      </c>
      <c r="L12" s="7">
        <f>IF(E12&gt;0,E12*G12,IF(F12&gt;0,F12*K12,0))</f>
      </c>
      <c r="M12" s="7">
        <f>I12+E12-F12</f>
      </c>
      <c r="N12" s="7">
        <f>IF(E12&gt;0,IF(I12&lt;0,M12*G12,J12+E12*G12),J12-L12)</f>
      </c>
      <c r="O12" s="7">
        <f>IF(M12&lt;&gt;0,N12/M12,IF(E12&gt;0,G12,O11))</f>
      </c>
      <c r="P12" s="9"/>
      <c r="Q12" s="9">
        <v>18200</v>
      </c>
      <c r="R12" s="9">
        <v>48</v>
      </c>
      <c r="S12" s="9">
        <v>21560</v>
      </c>
      <c r="T12" s="9"/>
      <c r="U12" s="9"/>
      <c r="V12" s="9" t="inlineStr">
        <is>
          <t>40 kg yeni FIFO lotu açıldı</t>
        </is>
      </c>
      <c r="W12" s="11">
        <f>IF(E12&gt;0,G12,W11)</f>
      </c>
      <c r="X12" s="11">
        <f>IF(E12&gt;0,E12*G12,IF(F12&gt;0,F12*W12,0))</f>
      </c>
      <c r="Y12" s="11">
        <f>Y11+E12-F12</f>
      </c>
      <c r="Z12" s="11">
        <f>Y12*W12</f>
      </c>
      <c r="AA12" s="13">
        <f>IF($B$3="FIFO",P12,IF($B$3="Son Alış",W12,O12))</f>
      </c>
      <c r="AB12" s="13">
        <f>IF($B$3="FIFO",Q12,IF($B$3="Son Alış",X12,L12))</f>
      </c>
      <c r="AC12" s="13">
        <f>IF($B$3="FIFO",R12,IF($B$3="Son Alış",Y12,M12))</f>
      </c>
      <c r="AD12" s="13">
        <f>IF($B$3="FIFO",S12,IF($B$3="Son Alış",Z12,N12))</f>
      </c>
      <c r="AE12" s="13">
        <f>IF(AC12&lt;0,"NEGATİF STOK","OK")</f>
      </c>
    </row>
    <row r="13" ht="18" customHeight="1">
      <c r="A13" s="5">
        <v>5</v>
      </c>
      <c r="B13" s="5" t="inlineStr">
        <is>
          <t>2026-06-03 19:00</t>
        </is>
      </c>
      <c r="C13" s="5" t="inlineStr">
        <is>
          <t>CK-003</t>
        </is>
      </c>
      <c r="D13" s="5" t="inlineStr">
        <is>
          <t>Reçete tüketimi</t>
        </is>
      </c>
      <c r="E13" s="5"/>
      <c r="F13" s="5">
        <v>15</v>
      </c>
      <c r="G13" s="5"/>
      <c r="H13" s="5" t="inlineStr">
        <is>
          <t>Servis tüketimi</t>
        </is>
      </c>
      <c r="I13" s="7">
        <f>M12</f>
      </c>
      <c r="J13" s="7">
        <f>N12</f>
      </c>
      <c r="K13" s="7">
        <f>IF(F13&gt;0,IF(O12&gt;0,O12,G13),"")</f>
      </c>
      <c r="L13" s="7">
        <f>IF(E13&gt;0,E13*G13,IF(F13&gt;0,F13*K13,0))</f>
      </c>
      <c r="M13" s="7">
        <f>I13+E13-F13</f>
      </c>
      <c r="N13" s="7">
        <f>IF(E13&gt;0,IF(I13&lt;0,M13*G13,J13+E13*G13),J13-L13)</f>
      </c>
      <c r="O13" s="7">
        <f>IF(M13&lt;&gt;0,N13/M13,IF(E13&gt;0,G13,O12))</f>
      </c>
      <c r="P13" s="9">
        <v>436.333333333333</v>
      </c>
      <c r="Q13" s="9">
        <v>6545</v>
      </c>
      <c r="R13" s="9">
        <v>33</v>
      </c>
      <c r="S13" s="9">
        <v>15015</v>
      </c>
      <c r="T13" s="9"/>
      <c r="U13" s="9"/>
      <c r="V13" s="9"/>
      <c r="W13" s="11">
        <f>IF(E13&gt;0,G13,W12)</f>
      </c>
      <c r="X13" s="11">
        <f>IF(E13&gt;0,E13*G13,IF(F13&gt;0,F13*W13,0))</f>
      </c>
      <c r="Y13" s="11">
        <f>Y12+E13-F13</f>
      </c>
      <c r="Z13" s="11">
        <f>Y13*W13</f>
      </c>
      <c r="AA13" s="13">
        <f>IF($B$3="FIFO",P13,IF($B$3="Son Alış",W13,O13))</f>
      </c>
      <c r="AB13" s="13">
        <f>IF($B$3="FIFO",Q13,IF($B$3="Son Alış",X13,L13))</f>
      </c>
      <c r="AC13" s="13">
        <f>IF($B$3="FIFO",R13,IF($B$3="Son Alış",Y13,M13))</f>
      </c>
      <c r="AD13" s="13">
        <f>IF($B$3="FIFO",S13,IF($B$3="Son Alış",Z13,N13))</f>
      </c>
      <c r="AE13" s="13">
        <f>IF(AC13&lt;0,"NEGATİF STOK","OK")</f>
      </c>
    </row>
    <row r="14" ht="18" customHeight="1">
      <c r="A14" s="5">
        <v>6</v>
      </c>
      <c r="B14" s="5" t="inlineStr">
        <is>
          <t>2026-06-04 08:30</t>
        </is>
      </c>
      <c r="C14" s="5" t="inlineStr">
        <is>
          <t>FIR-001</t>
        </is>
      </c>
      <c r="D14" s="5" t="inlineStr">
        <is>
          <t>Fire/trim</t>
        </is>
      </c>
      <c r="E14" s="5"/>
      <c r="F14" s="5">
        <v>5</v>
      </c>
      <c r="G14" s="5"/>
      <c r="H14" s="5" t="inlineStr">
        <is>
          <t>Temizleme firesi</t>
        </is>
      </c>
      <c r="I14" s="7">
        <f>M13</f>
      </c>
      <c r="J14" s="7">
        <f>N13</f>
      </c>
      <c r="K14" s="7">
        <f>IF(F14&gt;0,IF(O13&gt;0,O13,G14),"")</f>
      </c>
      <c r="L14" s="7">
        <f>IF(E14&gt;0,E14*G14,IF(F14&gt;0,F14*K14,0))</f>
      </c>
      <c r="M14" s="7">
        <f>I14+E14-F14</f>
      </c>
      <c r="N14" s="7">
        <f>IF(E14&gt;0,IF(I14&lt;0,M14*G14,J14+E14*G14),J14-L14)</f>
      </c>
      <c r="O14" s="7">
        <f>IF(M14&lt;&gt;0,N14/M14,IF(E14&gt;0,G14,O13))</f>
      </c>
      <c r="P14" s="9">
        <v>455</v>
      </c>
      <c r="Q14" s="9">
        <v>2275</v>
      </c>
      <c r="R14" s="9">
        <v>28</v>
      </c>
      <c r="S14" s="9">
        <v>12740</v>
      </c>
      <c r="T14" s="9"/>
      <c r="U14" s="9"/>
      <c r="V14" s="9"/>
      <c r="W14" s="11">
        <f>IF(E14&gt;0,G14,W13)</f>
      </c>
      <c r="X14" s="11">
        <f>IF(E14&gt;0,E14*G14,IF(F14&gt;0,F14*W14,0))</f>
      </c>
      <c r="Y14" s="11">
        <f>Y13+E14-F14</f>
      </c>
      <c r="Z14" s="11">
        <f>Y14*W14</f>
      </c>
      <c r="AA14" s="13">
        <f>IF($B$3="FIFO",P14,IF($B$3="Son Alış",W14,O14))</f>
      </c>
      <c r="AB14" s="13">
        <f>IF($B$3="FIFO",Q14,IF($B$3="Son Alış",X14,L14))</f>
      </c>
      <c r="AC14" s="13">
        <f>IF($B$3="FIFO",R14,IF($B$3="Son Alış",Y14,M14))</f>
      </c>
      <c r="AD14" s="13">
        <f>IF($B$3="FIFO",S14,IF($B$3="Son Alış",Z14,N14))</f>
      </c>
      <c r="AE14" s="13">
        <f>IF(AC14&lt;0,"NEGATİF STOK","OK")</f>
      </c>
    </row>
    <row r="15" ht="18" customHeight="1">
      <c r="A15" s="5">
        <v>7</v>
      </c>
      <c r="B15" s="5" t="inlineStr">
        <is>
          <t>2026-06-04 11:00</t>
        </is>
      </c>
      <c r="C15" s="5" t="inlineStr">
        <is>
          <t>GR-003</t>
        </is>
      </c>
      <c r="D15" s="5" t="inlineStr">
        <is>
          <t>Alış girişi</t>
        </is>
      </c>
      <c r="E15" s="5">
        <v>25</v>
      </c>
      <c r="F15" s="5"/>
      <c r="G15" s="5">
        <v>470</v>
      </c>
      <c r="H15" s="5" t="inlineStr">
        <is>
          <t>Yeni parti alım</t>
        </is>
      </c>
      <c r="I15" s="7">
        <f>M14</f>
      </c>
      <c r="J15" s="7">
        <f>N14</f>
      </c>
      <c r="K15" s="7">
        <f>IF(F15&gt;0,IF(O14&gt;0,O14,G15),"")</f>
      </c>
      <c r="L15" s="7">
        <f>IF(E15&gt;0,E15*G15,IF(F15&gt;0,F15*K15,0))</f>
      </c>
      <c r="M15" s="7">
        <f>I15+E15-F15</f>
      </c>
      <c r="N15" s="7">
        <f>IF(E15&gt;0,IF(I15&lt;0,M15*G15,J15+E15*G15),J15-L15)</f>
      </c>
      <c r="O15" s="7">
        <f>IF(M15&lt;&gt;0,N15/M15,IF(E15&gt;0,G15,O14))</f>
      </c>
      <c r="P15" s="9"/>
      <c r="Q15" s="9">
        <v>11750</v>
      </c>
      <c r="R15" s="9">
        <v>53</v>
      </c>
      <c r="S15" s="9">
        <v>24490</v>
      </c>
      <c r="T15" s="9"/>
      <c r="U15" s="9"/>
      <c r="V15" s="9" t="inlineStr">
        <is>
          <t>25 kg yeni FIFO lotu açıldı</t>
        </is>
      </c>
      <c r="W15" s="11">
        <f>IF(E15&gt;0,G15,W14)</f>
      </c>
      <c r="X15" s="11">
        <f>IF(E15&gt;0,E15*G15,IF(F15&gt;0,F15*W15,0))</f>
      </c>
      <c r="Y15" s="11">
        <f>Y14+E15-F15</f>
      </c>
      <c r="Z15" s="11">
        <f>Y15*W15</f>
      </c>
      <c r="AA15" s="13">
        <f>IF($B$3="FIFO",P15,IF($B$3="Son Alış",W15,O15))</f>
      </c>
      <c r="AB15" s="13">
        <f>IF($B$3="FIFO",Q15,IF($B$3="Son Alış",X15,L15))</f>
      </c>
      <c r="AC15" s="13">
        <f>IF($B$3="FIFO",R15,IF($B$3="Son Alış",Y15,M15))</f>
      </c>
      <c r="AD15" s="13">
        <f>IF($B$3="FIFO",S15,IF($B$3="Son Alış",Z15,N15))</f>
      </c>
      <c r="AE15" s="13">
        <f>IF(AC15&lt;0,"NEGATİF STOK","OK")</f>
      </c>
    </row>
    <row r="16" ht="18" customHeight="1">
      <c r="A16" s="5">
        <v>8</v>
      </c>
      <c r="B16" s="5" t="inlineStr">
        <is>
          <t>2026-06-05 21:30</t>
        </is>
      </c>
      <c r="C16" s="5" t="inlineStr">
        <is>
          <t>CK-004</t>
        </is>
      </c>
      <c r="D16" s="5" t="inlineStr">
        <is>
          <t>Reçete tüketimi</t>
        </is>
      </c>
      <c r="E16" s="5"/>
      <c r="F16" s="5">
        <v>38</v>
      </c>
      <c r="G16" s="5"/>
      <c r="H16" s="5" t="inlineStr">
        <is>
          <t>Yoğun servis tüketimi</t>
        </is>
      </c>
      <c r="I16" s="7">
        <f>M15</f>
      </c>
      <c r="J16" s="7">
        <f>N15</f>
      </c>
      <c r="K16" s="7">
        <f>IF(F16&gt;0,IF(O15&gt;0,O15,G16),"")</f>
      </c>
      <c r="L16" s="7">
        <f>IF(E16&gt;0,E16*G16,IF(F16&gt;0,F16*K16,0))</f>
      </c>
      <c r="M16" s="7">
        <f>I16+E16-F16</f>
      </c>
      <c r="N16" s="7">
        <f>IF(E16&gt;0,IF(I16&lt;0,M16*G16,J16+E16*G16),J16-L16)</f>
      </c>
      <c r="O16" s="7">
        <f>IF(M16&lt;&gt;0,N16/M16,IF(E16&gt;0,G16,O15))</f>
      </c>
      <c r="P16" s="9">
        <v>458.947368421053</v>
      </c>
      <c r="Q16" s="9">
        <v>17440</v>
      </c>
      <c r="R16" s="9">
        <v>15</v>
      </c>
      <c r="S16" s="9">
        <v>7050</v>
      </c>
      <c r="T16" s="9"/>
      <c r="U16" s="9"/>
      <c r="V16" s="9"/>
      <c r="W16" s="11">
        <f>IF(E16&gt;0,G16,W15)</f>
      </c>
      <c r="X16" s="11">
        <f>IF(E16&gt;0,E16*G16,IF(F16&gt;0,F16*W16,0))</f>
      </c>
      <c r="Y16" s="11">
        <f>Y15+E16-F16</f>
      </c>
      <c r="Z16" s="11">
        <f>Y16*W16</f>
      </c>
      <c r="AA16" s="13">
        <f>IF($B$3="FIFO",P16,IF($B$3="Son Alış",W16,O16))</f>
      </c>
      <c r="AB16" s="13">
        <f>IF($B$3="FIFO",Q16,IF($B$3="Son Alış",X16,L16))</f>
      </c>
      <c r="AC16" s="13">
        <f>IF($B$3="FIFO",R16,IF($B$3="Son Alış",Y16,M16))</f>
      </c>
      <c r="AD16" s="13">
        <f>IF($B$3="FIFO",S16,IF($B$3="Son Alış",Z16,N16))</f>
      </c>
      <c r="AE16" s="13">
        <f>IF(AC16&lt;0,"NEGATİF STOK","OK")</f>
      </c>
    </row>
    <row r="17" ht="18" customHeight="1">
      <c r="A17" s="14">
        <v>9</v>
      </c>
      <c r="B17" s="14" t="inlineStr">
        <is>
          <t>2026-06-06 22:00</t>
        </is>
      </c>
      <c r="C17" s="14" t="inlineStr">
        <is>
          <t>CK-005</t>
        </is>
      </c>
      <c r="D17" s="14" t="inlineStr">
        <is>
          <t>Reçete tüketimi</t>
        </is>
      </c>
      <c r="E17" s="14"/>
      <c r="F17" s="14">
        <v>24</v>
      </c>
      <c r="G17" s="14"/>
      <c r="H17" s="14" t="inlineStr">
        <is>
          <t>NEGATİF STOK: kayıt fiili stoktan fazla tüketim gösteriyor</t>
        </is>
      </c>
      <c r="I17" s="14">
        <f>M16</f>
      </c>
      <c r="J17" s="14">
        <f>N16</f>
      </c>
      <c r="K17" s="14">
        <f>IF(F17&gt;0,IF(O16&gt;0,O16,G17),"")</f>
      </c>
      <c r="L17" s="14">
        <f>IF(E17&gt;0,E17*G17,IF(F17&gt;0,F17*K17,0))</f>
      </c>
      <c r="M17" s="14">
        <f>I17+E17-F17</f>
      </c>
      <c r="N17" s="14">
        <f>IF(E17&gt;0,IF(I17&lt;0,M17*G17,J17+E17*G17),J17-L17)</f>
      </c>
      <c r="O17" s="14">
        <f>IF(M17&lt;&gt;0,N17/M17,IF(E17&gt;0,G17,O16))</f>
      </c>
      <c r="P17" s="14">
        <v>470</v>
      </c>
      <c r="Q17" s="14">
        <v>11280</v>
      </c>
      <c r="R17" s="14">
        <v>-9</v>
      </c>
      <c r="S17" s="14">
        <v>-4230</v>
      </c>
      <c r="T17" s="14">
        <v>9</v>
      </c>
      <c r="U17" s="14">
        <v>470</v>
      </c>
      <c r="V17" s="14" t="inlineStr">
        <is>
          <t>Mevcut FIFO lotu yetmedi; 9 kg negatif stok olarak maliyetlendi</t>
        </is>
      </c>
      <c r="W17" s="14">
        <f>IF(E17&gt;0,G17,W16)</f>
      </c>
      <c r="X17" s="14">
        <f>IF(E17&gt;0,E17*G17,IF(F17&gt;0,F17*W17,0))</f>
      </c>
      <c r="Y17" s="14">
        <f>Y16+E17-F17</f>
      </c>
      <c r="Z17" s="14">
        <f>Y17*W17</f>
      </c>
      <c r="AA17" s="13">
        <f>IF($B$3="FIFO",P17,IF($B$3="Son Alış",W17,O17))</f>
      </c>
      <c r="AB17" s="13">
        <f>IF($B$3="FIFO",Q17,IF($B$3="Son Alış",X17,L17))</f>
      </c>
      <c r="AC17" s="13">
        <f>IF($B$3="FIFO",R17,IF($B$3="Son Alış",Y17,M17))</f>
      </c>
      <c r="AD17" s="13">
        <f>IF($B$3="FIFO",S17,IF($B$3="Son Alış",Z17,N17))</f>
      </c>
      <c r="AE17" s="13">
        <f>IF(AC17&lt;0,"NEGATİF STOK","OK")</f>
      </c>
    </row>
    <row r="18" ht="18" customHeight="1">
      <c r="A18" s="14">
        <v>10</v>
      </c>
      <c r="B18" s="14" t="inlineStr">
        <is>
          <t>2026-06-07 09:20</t>
        </is>
      </c>
      <c r="C18" s="14" t="inlineStr">
        <is>
          <t>GR-004</t>
        </is>
      </c>
      <c r="D18" s="14" t="inlineStr">
        <is>
          <t>Alış girişi</t>
        </is>
      </c>
      <c r="E18" s="14">
        <v>20</v>
      </c>
      <c r="F18" s="14"/>
      <c r="G18" s="14">
        <v>510</v>
      </c>
      <c r="H18" s="14" t="inlineStr">
        <is>
          <t>Negatif stok kapatma alımı</t>
        </is>
      </c>
      <c r="I18" s="14">
        <f>M17</f>
      </c>
      <c r="J18" s="14">
        <f>N17</f>
      </c>
      <c r="K18" s="14">
        <f>IF(F18&gt;0,IF(O17&gt;0,O17,G18),"")</f>
      </c>
      <c r="L18" s="14">
        <f>IF(E18&gt;0,E18*G18,IF(F18&gt;0,F18*K18,0))</f>
      </c>
      <c r="M18" s="14">
        <f>I18+E18-F18</f>
      </c>
      <c r="N18" s="14">
        <f>IF(E18&gt;0,IF(I18&lt;0,M18*G18,J18+E18*G18),J18-L18)</f>
      </c>
      <c r="O18" s="14">
        <f>IF(M18&lt;&gt;0,N18/M18,IF(E18&gt;0,G18,O17))</f>
      </c>
      <c r="P18" s="14"/>
      <c r="Q18" s="14">
        <v>10200</v>
      </c>
      <c r="R18" s="14">
        <v>11</v>
      </c>
      <c r="S18" s="14">
        <v>5610</v>
      </c>
      <c r="T18" s="14"/>
      <c r="U18" s="14"/>
      <c r="V18" s="14" t="inlineStr">
        <is>
          <t>Önceki negatif stoktan 9 kg kapandı; 11 kg yeni FIFO lotu açıldı</t>
        </is>
      </c>
      <c r="W18" s="14">
        <f>IF(E18&gt;0,G18,W17)</f>
      </c>
      <c r="X18" s="14">
        <f>IF(E18&gt;0,E18*G18,IF(F18&gt;0,F18*W18,0))</f>
      </c>
      <c r="Y18" s="14">
        <f>Y17+E18-F18</f>
      </c>
      <c r="Z18" s="14">
        <f>Y18*W18</f>
      </c>
      <c r="AA18" s="13">
        <f>IF($B$3="FIFO",P18,IF($B$3="Son Alış",W18,O18))</f>
      </c>
      <c r="AB18" s="13">
        <f>IF($B$3="FIFO",Q18,IF($B$3="Son Alış",X18,L18))</f>
      </c>
      <c r="AC18" s="13">
        <f>IF($B$3="FIFO",R18,IF($B$3="Son Alış",Y18,M18))</f>
      </c>
      <c r="AD18" s="13">
        <f>IF($B$3="FIFO",S18,IF($B$3="Son Alış",Z18,N18))</f>
      </c>
      <c r="AE18" s="13">
        <f>IF(AC18&lt;0,"NEGATİF STOK","OK")</f>
      </c>
    </row>
    <row r="19" ht="18" customHeight="1">
      <c r="A19" s="5">
        <v>11</v>
      </c>
      <c r="B19" s="5" t="inlineStr">
        <is>
          <t>2026-06-07 15:00</t>
        </is>
      </c>
      <c r="C19" s="5" t="inlineStr">
        <is>
          <t>CK-006</t>
        </is>
      </c>
      <c r="D19" s="5" t="inlineStr">
        <is>
          <t>Reçete tüketimi</t>
        </is>
      </c>
      <c r="E19" s="5"/>
      <c r="F19" s="5">
        <v>6</v>
      </c>
      <c r="G19" s="5"/>
      <c r="H19" s="5" t="inlineStr">
        <is>
          <t>Servis tüketimi</t>
        </is>
      </c>
      <c r="I19" s="7">
        <f>M18</f>
      </c>
      <c r="J19" s="7">
        <f>N18</f>
      </c>
      <c r="K19" s="7">
        <f>IF(F19&gt;0,IF(O18&gt;0,O18,G19),"")</f>
      </c>
      <c r="L19" s="7">
        <f>IF(E19&gt;0,E19*G19,IF(F19&gt;0,F19*K19,0))</f>
      </c>
      <c r="M19" s="7">
        <f>I19+E19-F19</f>
      </c>
      <c r="N19" s="7">
        <f>IF(E19&gt;0,IF(I19&lt;0,M19*G19,J19+E19*G19),J19-L19)</f>
      </c>
      <c r="O19" s="7">
        <f>IF(M19&lt;&gt;0,N19/M19,IF(E19&gt;0,G19,O18))</f>
      </c>
      <c r="P19" s="9">
        <v>510</v>
      </c>
      <c r="Q19" s="9">
        <v>3060</v>
      </c>
      <c r="R19" s="9">
        <v>5</v>
      </c>
      <c r="S19" s="9">
        <v>2550</v>
      </c>
      <c r="T19" s="9"/>
      <c r="U19" s="9"/>
      <c r="V19" s="9"/>
      <c r="W19" s="11">
        <f>IF(E19&gt;0,G19,W18)</f>
      </c>
      <c r="X19" s="11">
        <f>IF(E19&gt;0,E19*G19,IF(F19&gt;0,F19*W19,0))</f>
      </c>
      <c r="Y19" s="11">
        <f>Y18+E19-F19</f>
      </c>
      <c r="Z19" s="11">
        <f>Y19*W19</f>
      </c>
      <c r="AA19" s="13">
        <f>IF($B$3="FIFO",P19,IF($B$3="Son Alış",W19,O19))</f>
      </c>
      <c r="AB19" s="13">
        <f>IF($B$3="FIFO",Q19,IF($B$3="Son Alış",X19,L19))</f>
      </c>
      <c r="AC19" s="13">
        <f>IF($B$3="FIFO",R19,IF($B$3="Son Alış",Y19,M19))</f>
      </c>
      <c r="AD19" s="13">
        <f>IF($B$3="FIFO",S19,IF($B$3="Son Alış",Z19,N19))</f>
      </c>
      <c r="AE19" s="13">
        <f>IF(AC19&lt;0,"NEGATİF STOK","OK")</f>
      </c>
    </row>
    <row r="20" ht="18" customHeight="1">
      <c r="A20" s="5">
        <v>12</v>
      </c>
      <c r="B20" s="5" t="inlineStr">
        <is>
          <t>2026-06-08 10:00</t>
        </is>
      </c>
      <c r="C20" s="5" t="inlineStr">
        <is>
          <t>GR-005</t>
        </is>
      </c>
      <c r="D20" s="5" t="inlineStr">
        <is>
          <t>Alış girişi</t>
        </is>
      </c>
      <c r="E20" s="5">
        <v>50</v>
      </c>
      <c r="F20" s="5"/>
      <c r="G20" s="5">
        <v>530</v>
      </c>
      <c r="H20" s="5" t="inlineStr">
        <is>
          <t>Haftalık alım</t>
        </is>
      </c>
      <c r="I20" s="7">
        <f>M19</f>
      </c>
      <c r="J20" s="7">
        <f>N19</f>
      </c>
      <c r="K20" s="7">
        <f>IF(F20&gt;0,IF(O19&gt;0,O19,G20),"")</f>
      </c>
      <c r="L20" s="7">
        <f>IF(E20&gt;0,E20*G20,IF(F20&gt;0,F20*K20,0))</f>
      </c>
      <c r="M20" s="7">
        <f>I20+E20-F20</f>
      </c>
      <c r="N20" s="7">
        <f>IF(E20&gt;0,IF(I20&lt;0,M20*G20,J20+E20*G20),J20-L20)</f>
      </c>
      <c r="O20" s="7">
        <f>IF(M20&lt;&gt;0,N20/M20,IF(E20&gt;0,G20,O19))</f>
      </c>
      <c r="P20" s="9"/>
      <c r="Q20" s="9">
        <v>26500</v>
      </c>
      <c r="R20" s="9">
        <v>55</v>
      </c>
      <c r="S20" s="9">
        <v>29050</v>
      </c>
      <c r="T20" s="9"/>
      <c r="U20" s="9"/>
      <c r="V20" s="9" t="inlineStr">
        <is>
          <t>50 kg yeni FIFO lotu açıldı</t>
        </is>
      </c>
      <c r="W20" s="11">
        <f>IF(E20&gt;0,G20,W19)</f>
      </c>
      <c r="X20" s="11">
        <f>IF(E20&gt;0,E20*G20,IF(F20&gt;0,F20*W20,0))</f>
      </c>
      <c r="Y20" s="11">
        <f>Y19+E20-F20</f>
      </c>
      <c r="Z20" s="11">
        <f>Y20*W20</f>
      </c>
      <c r="AA20" s="13">
        <f>IF($B$3="FIFO",P20,IF($B$3="Son Alış",W20,O20))</f>
      </c>
      <c r="AB20" s="13">
        <f>IF($B$3="FIFO",Q20,IF($B$3="Son Alış",X20,L20))</f>
      </c>
      <c r="AC20" s="13">
        <f>IF($B$3="FIFO",R20,IF($B$3="Son Alış",Y20,M20))</f>
      </c>
      <c r="AD20" s="13">
        <f>IF($B$3="FIFO",S20,IF($B$3="Son Alış",Z20,N20))</f>
      </c>
      <c r="AE20" s="13">
        <f>IF(AC20&lt;0,"NEGATİF STOK","OK")</f>
      </c>
    </row>
    <row r="21" ht="18" customHeight="1">
      <c r="A21" s="5">
        <v>13</v>
      </c>
      <c r="B21" s="5" t="inlineStr">
        <is>
          <t>2026-06-08 22:15</t>
        </is>
      </c>
      <c r="C21" s="5" t="inlineStr">
        <is>
          <t>CK-007</t>
        </is>
      </c>
      <c r="D21" s="5" t="inlineStr">
        <is>
          <t>Reçete tüketimi</t>
        </is>
      </c>
      <c r="E21" s="5"/>
      <c r="F21" s="5">
        <v>35</v>
      </c>
      <c r="G21" s="5"/>
      <c r="H21" s="5" t="inlineStr">
        <is>
          <t>Akşam servis tüketimi</t>
        </is>
      </c>
      <c r="I21" s="7">
        <f>M20</f>
      </c>
      <c r="J21" s="7">
        <f>N20</f>
      </c>
      <c r="K21" s="7">
        <f>IF(F21&gt;0,IF(O20&gt;0,O20,G21),"")</f>
      </c>
      <c r="L21" s="7">
        <f>IF(E21&gt;0,E21*G21,IF(F21&gt;0,F21*K21,0))</f>
      </c>
      <c r="M21" s="7">
        <f>I21+E21-F21</f>
      </c>
      <c r="N21" s="7">
        <f>IF(E21&gt;0,IF(I21&lt;0,M21*G21,J21+E21*G21),J21-L21)</f>
      </c>
      <c r="O21" s="7">
        <f>IF(M21&lt;&gt;0,N21/M21,IF(E21&gt;0,G21,O20))</f>
      </c>
      <c r="P21" s="9">
        <v>527.142857142857</v>
      </c>
      <c r="Q21" s="9">
        <v>18450</v>
      </c>
      <c r="R21" s="9">
        <v>20</v>
      </c>
      <c r="S21" s="9">
        <v>10600</v>
      </c>
      <c r="T21" s="9"/>
      <c r="U21" s="9"/>
      <c r="V21" s="9"/>
      <c r="W21" s="11">
        <f>IF(E21&gt;0,G21,W20)</f>
      </c>
      <c r="X21" s="11">
        <f>IF(E21&gt;0,E21*G21,IF(F21&gt;0,F21*W21,0))</f>
      </c>
      <c r="Y21" s="11">
        <f>Y20+E21-F21</f>
      </c>
      <c r="Z21" s="11">
        <f>Y21*W21</f>
      </c>
      <c r="AA21" s="13">
        <f>IF($B$3="FIFO",P21,IF($B$3="Son Alış",W21,O21))</f>
      </c>
      <c r="AB21" s="13">
        <f>IF($B$3="FIFO",Q21,IF($B$3="Son Alış",X21,L21))</f>
      </c>
      <c r="AC21" s="13">
        <f>IF($B$3="FIFO",R21,IF($B$3="Son Alış",Y21,M21))</f>
      </c>
      <c r="AD21" s="13">
        <f>IF($B$3="FIFO",S21,IF($B$3="Son Alış",Z21,N21))</f>
      </c>
      <c r="AE21" s="13">
        <f>IF(AC21&lt;0,"NEGATİF STOK","OK")</f>
      </c>
    </row>
    <row r="22" ht="18" customHeight="1">
      <c r="A22" s="14">
        <v>14</v>
      </c>
      <c r="B22" s="14" t="inlineStr">
        <is>
          <t>2026-06-09 22:30</t>
        </is>
      </c>
      <c r="C22" s="14" t="inlineStr">
        <is>
          <t>CK-008</t>
        </is>
      </c>
      <c r="D22" s="14" t="inlineStr">
        <is>
          <t>Reçete tüketimi</t>
        </is>
      </c>
      <c r="E22" s="14"/>
      <c r="F22" s="14">
        <v>28</v>
      </c>
      <c r="G22" s="14"/>
      <c r="H22" s="14" t="inlineStr">
        <is>
          <t>NEGATİF STOK: ikinci açık</t>
        </is>
      </c>
      <c r="I22" s="14">
        <f>M21</f>
      </c>
      <c r="J22" s="14">
        <f>N21</f>
      </c>
      <c r="K22" s="14">
        <f>IF(F22&gt;0,IF(O21&gt;0,O21,G22),"")</f>
      </c>
      <c r="L22" s="14">
        <f>IF(E22&gt;0,E22*G22,IF(F22&gt;0,F22*K22,0))</f>
      </c>
      <c r="M22" s="14">
        <f>I22+E22-F22</f>
      </c>
      <c r="N22" s="14">
        <f>IF(E22&gt;0,IF(I22&lt;0,M22*G22,J22+E22*G22),J22-L22)</f>
      </c>
      <c r="O22" s="14">
        <f>IF(M22&lt;&gt;0,N22/M22,IF(E22&gt;0,G22,O21))</f>
      </c>
      <c r="P22" s="14">
        <v>530</v>
      </c>
      <c r="Q22" s="14">
        <v>14840</v>
      </c>
      <c r="R22" s="14">
        <v>-8</v>
      </c>
      <c r="S22" s="14">
        <v>-4240</v>
      </c>
      <c r="T22" s="14">
        <v>8</v>
      </c>
      <c r="U22" s="14">
        <v>530</v>
      </c>
      <c r="V22" s="14" t="inlineStr">
        <is>
          <t>Mevcut FIFO lotu yetmedi; 8 kg negatif stok olarak maliyetlendi</t>
        </is>
      </c>
      <c r="W22" s="14">
        <f>IF(E22&gt;0,G22,W21)</f>
      </c>
      <c r="X22" s="14">
        <f>IF(E22&gt;0,E22*G22,IF(F22&gt;0,F22*W22,0))</f>
      </c>
      <c r="Y22" s="14">
        <f>Y21+E22-F22</f>
      </c>
      <c r="Z22" s="14">
        <f>Y22*W22</f>
      </c>
      <c r="AA22" s="13">
        <f>IF($B$3="FIFO",P22,IF($B$3="Son Alış",W22,O22))</f>
      </c>
      <c r="AB22" s="13">
        <f>IF($B$3="FIFO",Q22,IF($B$3="Son Alış",X22,L22))</f>
      </c>
      <c r="AC22" s="13">
        <f>IF($B$3="FIFO",R22,IF($B$3="Son Alış",Y22,M22))</f>
      </c>
      <c r="AD22" s="13">
        <f>IF($B$3="FIFO",S22,IF($B$3="Son Alış",Z22,N22))</f>
      </c>
      <c r="AE22" s="13">
        <f>IF(AC22&lt;0,"NEGATİF STOK","OK")</f>
      </c>
    </row>
    <row r="23" ht="18" customHeight="1">
      <c r="A23" s="14">
        <v>15</v>
      </c>
      <c r="B23" s="14" t="inlineStr">
        <is>
          <t>2026-06-10 09:10</t>
        </is>
      </c>
      <c r="C23" s="14" t="inlineStr">
        <is>
          <t>GR-006</t>
        </is>
      </c>
      <c r="D23" s="14" t="inlineStr">
        <is>
          <t>Alış girişi</t>
        </is>
      </c>
      <c r="E23" s="14">
        <v>20</v>
      </c>
      <c r="F23" s="14"/>
      <c r="G23" s="14">
        <v>560</v>
      </c>
      <c r="H23" s="14" t="inlineStr">
        <is>
          <t>Negatif stok kapatma alımı</t>
        </is>
      </c>
      <c r="I23" s="14">
        <f>M22</f>
      </c>
      <c r="J23" s="14">
        <f>N22</f>
      </c>
      <c r="K23" s="14">
        <f>IF(F23&gt;0,IF(O22&gt;0,O22,G23),"")</f>
      </c>
      <c r="L23" s="14">
        <f>IF(E23&gt;0,E23*G23,IF(F23&gt;0,F23*K23,0))</f>
      </c>
      <c r="M23" s="14">
        <f>I23+E23-F23</f>
      </c>
      <c r="N23" s="14">
        <f>IF(E23&gt;0,IF(I23&lt;0,M23*G23,J23+E23*G23),J23-L23)</f>
      </c>
      <c r="O23" s="14">
        <f>IF(M23&lt;&gt;0,N23/M23,IF(E23&gt;0,G23,O22))</f>
      </c>
      <c r="P23" s="14"/>
      <c r="Q23" s="14">
        <v>11200</v>
      </c>
      <c r="R23" s="14">
        <v>12</v>
      </c>
      <c r="S23" s="14">
        <v>6720</v>
      </c>
      <c r="T23" s="14"/>
      <c r="U23" s="14"/>
      <c r="V23" s="14" t="inlineStr">
        <is>
          <t>Önceki negatif stoktan 8 kg kapandı; 12 kg yeni FIFO lotu açıldı</t>
        </is>
      </c>
      <c r="W23" s="14">
        <f>IF(E23&gt;0,G23,W22)</f>
      </c>
      <c r="X23" s="14">
        <f>IF(E23&gt;0,E23*G23,IF(F23&gt;0,F23*W23,0))</f>
      </c>
      <c r="Y23" s="14">
        <f>Y22+E23-F23</f>
      </c>
      <c r="Z23" s="14">
        <f>Y23*W23</f>
      </c>
      <c r="AA23" s="13">
        <f>IF($B$3="FIFO",P23,IF($B$3="Son Alış",W23,O23))</f>
      </c>
      <c r="AB23" s="13">
        <f>IF($B$3="FIFO",Q23,IF($B$3="Son Alış",X23,L23))</f>
      </c>
      <c r="AC23" s="13">
        <f>IF($B$3="FIFO",R23,IF($B$3="Son Alış",Y23,M23))</f>
      </c>
      <c r="AD23" s="13">
        <f>IF($B$3="FIFO",S23,IF($B$3="Son Alış",Z23,N23))</f>
      </c>
      <c r="AE23" s="13">
        <f>IF(AC23&lt;0,"NEGATİF STOK","OK")</f>
      </c>
    </row>
    <row r="24" ht="18" customHeight="1">
      <c r="A24" s="5">
        <v>16</v>
      </c>
      <c r="B24" s="5" t="inlineStr">
        <is>
          <t>2026-06-10 18:00</t>
        </is>
      </c>
      <c r="C24" s="5" t="inlineStr">
        <is>
          <t>SYM-001</t>
        </is>
      </c>
      <c r="D24" s="5" t="inlineStr">
        <is>
          <t>Sayım fazlası</t>
        </is>
      </c>
      <c r="E24" s="5">
        <v>10</v>
      </c>
      <c r="F24" s="5"/>
      <c r="G24" s="5">
        <v>550</v>
      </c>
      <c r="H24" s="5" t="inlineStr">
        <is>
          <t>Sayım farkı girişi</t>
        </is>
      </c>
      <c r="I24" s="7">
        <f>M23</f>
      </c>
      <c r="J24" s="7">
        <f>N23</f>
      </c>
      <c r="K24" s="7">
        <f>IF(F24&gt;0,IF(O23&gt;0,O23,G24),"")</f>
      </c>
      <c r="L24" s="7">
        <f>IF(E24&gt;0,E24*G24,IF(F24&gt;0,F24*K24,0))</f>
      </c>
      <c r="M24" s="7">
        <f>I24+E24-F24</f>
      </c>
      <c r="N24" s="7">
        <f>IF(E24&gt;0,IF(I24&lt;0,M24*G24,J24+E24*G24),J24-L24)</f>
      </c>
      <c r="O24" s="7">
        <f>IF(M24&lt;&gt;0,N24/M24,IF(E24&gt;0,G24,O23))</f>
      </c>
      <c r="P24" s="9"/>
      <c r="Q24" s="9">
        <v>5500</v>
      </c>
      <c r="R24" s="9">
        <v>22</v>
      </c>
      <c r="S24" s="9">
        <v>12220</v>
      </c>
      <c r="T24" s="9"/>
      <c r="U24" s="9"/>
      <c r="V24" s="9" t="inlineStr">
        <is>
          <t>10 kg yeni FIFO lotu açıldı</t>
        </is>
      </c>
      <c r="W24" s="11">
        <f>IF(E24&gt;0,G24,W23)</f>
      </c>
      <c r="X24" s="11">
        <f>IF(E24&gt;0,E24*G24,IF(F24&gt;0,F24*W24,0))</f>
      </c>
      <c r="Y24" s="11">
        <f>Y23+E24-F24</f>
      </c>
      <c r="Z24" s="11">
        <f>Y24*W24</f>
      </c>
      <c r="AA24" s="13">
        <f>IF($B$3="FIFO",P24,IF($B$3="Son Alış",W24,O24))</f>
      </c>
      <c r="AB24" s="13">
        <f>IF($B$3="FIFO",Q24,IF($B$3="Son Alış",X24,L24))</f>
      </c>
      <c r="AC24" s="13">
        <f>IF($B$3="FIFO",R24,IF($B$3="Son Alış",Y24,M24))</f>
      </c>
      <c r="AD24" s="13">
        <f>IF($B$3="FIFO",S24,IF($B$3="Son Alış",Z24,N24))</f>
      </c>
      <c r="AE24" s="13">
        <f>IF(AC24&lt;0,"NEGATİF STOK","OK")</f>
      </c>
    </row>
    <row r="25" ht="18" customHeight="1">
      <c r="A25" s="5">
        <v>17</v>
      </c>
      <c r="B25" s="5" t="inlineStr">
        <is>
          <t>2026-06-11 14:00</t>
        </is>
      </c>
      <c r="C25" s="5" t="inlineStr">
        <is>
          <t>CK-009</t>
        </is>
      </c>
      <c r="D25" s="5" t="inlineStr">
        <is>
          <t>Reçete tüketimi</t>
        </is>
      </c>
      <c r="E25" s="5"/>
      <c r="F25" s="5">
        <v>20</v>
      </c>
      <c r="G25" s="5"/>
      <c r="H25" s="5" t="inlineStr">
        <is>
          <t>Servis tüketimi</t>
        </is>
      </c>
      <c r="I25" s="7">
        <f>M24</f>
      </c>
      <c r="J25" s="7">
        <f>N24</f>
      </c>
      <c r="K25" s="7">
        <f>IF(F25&gt;0,IF(O24&gt;0,O24,G25),"")</f>
      </c>
      <c r="L25" s="7">
        <f>IF(E25&gt;0,E25*G25,IF(F25&gt;0,F25*K25,0))</f>
      </c>
      <c r="M25" s="7">
        <f>I25+E25-F25</f>
      </c>
      <c r="N25" s="7">
        <f>IF(E25&gt;0,IF(I25&lt;0,M25*G25,J25+E25*G25),J25-L25)</f>
      </c>
      <c r="O25" s="7">
        <f>IF(M25&lt;&gt;0,N25/M25,IF(E25&gt;0,G25,O24))</f>
      </c>
      <c r="P25" s="9">
        <v>556</v>
      </c>
      <c r="Q25" s="9">
        <v>11120</v>
      </c>
      <c r="R25" s="9">
        <v>2</v>
      </c>
      <c r="S25" s="9">
        <v>1100</v>
      </c>
      <c r="T25" s="9"/>
      <c r="U25" s="9"/>
      <c r="V25" s="9"/>
      <c r="W25" s="11">
        <f>IF(E25&gt;0,G25,W24)</f>
      </c>
      <c r="X25" s="11">
        <f>IF(E25&gt;0,E25*G25,IF(F25&gt;0,F25*W25,0))</f>
      </c>
      <c r="Y25" s="11">
        <f>Y24+E25-F25</f>
      </c>
      <c r="Z25" s="11">
        <f>Y25*W25</f>
      </c>
      <c r="AA25" s="13">
        <f>IF($B$3="FIFO",P25,IF($B$3="Son Alış",W25,O25))</f>
      </c>
      <c r="AB25" s="13">
        <f>IF($B$3="FIFO",Q25,IF($B$3="Son Alış",X25,L25))</f>
      </c>
      <c r="AC25" s="13">
        <f>IF($B$3="FIFO",R25,IF($B$3="Son Alış",Y25,M25))</f>
      </c>
      <c r="AD25" s="13">
        <f>IF($B$3="FIFO",S25,IF($B$3="Son Alış",Z25,N25))</f>
      </c>
      <c r="AE25" s="13">
        <f>IF(AC25&lt;0,"NEGATİF STOK","OK")</f>
      </c>
    </row>
  </sheetData>
  <mergeCells count="7">
    <mergeCell ref="A1:AE1"/>
    <mergeCell ref="A2:AE2"/>
    <mergeCell ref="D3:AE3"/>
    <mergeCell ref="B5:AE5"/>
    <mergeCell ref="A7:H7"/>
    <mergeCell ref="I7:O7"/>
    <mergeCell ref="P7:V7"/>
  </mergeCells>
  <autoFilter ref="A8:AE25"/>
  <dataValidations count="1">
    <dataValidation type="list" allowBlank="0" showErrorMessage="1" sqref="B3">
      <formula1>"Ağırlıklı Ortalama,FIFO,Son Alış"</formula1>
    </dataValidation>
  </dataValidations>
</worksheet>
</file>