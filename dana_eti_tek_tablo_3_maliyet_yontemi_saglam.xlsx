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a_Eti_Tek_Tablo" sheetId="1" r:id="rId1"/>
  </sheets>
  <definedNames>
    <definedName name="_xlnm._FilterDatabase" localSheetId="0">'Dana_Eti_Tek_Tablo'!A8:AE25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5"/>
  <sheetViews>
    <sheetView workbookViewId="0"/>
  </sheetViews>
  <cols>
    <col min="1" max="1" width="6.83203125" customWidth="1"/>
    <col min="2" max="2" width="18.83203125" customWidth="1"/>
    <col min="3" max="3" width="13.83203125" customWidth="1"/>
    <col min="4" max="4" width="18.83203125" customWidth="1"/>
    <col min="5" max="5" width="11.83203125" customWidth="1"/>
    <col min="6" max="6" width="11.83203125" customWidth="1"/>
    <col min="7" max="7" width="16.83203125" customWidth="1"/>
    <col min="8" max="8" width="48.83203125" customWidth="1"/>
    <col min="9" max="9" width="17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17.83203125" customWidth="1"/>
    <col min="15" max="15" width="17.83203125" customWidth="1"/>
    <col min="16" max="16" width="17.83203125" customWidth="1"/>
    <col min="17" max="17" width="17.83203125" customWidth="1"/>
    <col min="18" max="18" width="17.83203125" customWidth="1"/>
    <col min="19" max="19" width="17.83203125" customWidth="1"/>
    <col min="20" max="20" width="17.83203125" customWidth="1"/>
    <col min="21" max="21" width="17.83203125" customWidth="1"/>
    <col min="22" max="22" width="17.83203125" customWidth="1"/>
    <col min="23" max="23" width="17.83203125" customWidth="1"/>
    <col min="24" max="24" width="17.83203125" customWidth="1"/>
    <col min="25" max="25" width="17.83203125" customWidth="1"/>
    <col min="26" max="26" width="17.83203125" customWidth="1"/>
    <col min="27" max="27" width="17.83203125" customWidth="1"/>
    <col min="28" max="28" width="17.83203125" customWidth="1"/>
    <col min="29" max="29" width="17.83203125" customWidth="1"/>
    <col min="30" max="30" width="17.83203125" customWidth="1"/>
    <col min="31" max="31" width="17.83203125" customWidth="1"/>
  </cols>
  <sheetData>
    <row r="1">
      <c r="A1" t="str">
        <v>Dana Eti - Tek Tabloda 3 Maliyet Yöntemi Simülasyonu</v>
      </c>
    </row>
    <row r="2">
      <c r="A2" t="str">
        <v>Aynı stok hareketi satırı WAC, FIFO ve Son Alış yöntemleriyle yan yana hesaplanır. Excel Table nesnesi yoktur.</v>
      </c>
    </row>
    <row r="3">
      <c r="A3" t="str">
        <v>Resmi maliyet yöntemi seçimi</v>
      </c>
      <c r="B3" t="str">
        <v>Ağırlıklı Ortalama</v>
      </c>
      <c r="C3" t="str">
        <v/>
      </c>
      <c r="D3" t="str">
        <v>B3 hücresine Ağırlıklı Ortalama / FIFO / Son Alış yazınca mor kolonlar ona göre formülle değişir.</v>
      </c>
    </row>
    <row r="4">
      <c r="A4" t="str">
        <v>Ürün</v>
      </c>
      <c r="B4" t="str">
        <v>Dana eti</v>
      </c>
      <c r="C4" t="str">
        <v/>
      </c>
      <c r="D4" t="str">
        <v>Birim</v>
      </c>
      <c r="E4" t="str">
        <v>kg</v>
      </c>
    </row>
    <row r="5">
      <c r="A5" t="str">
        <v>Renk kodu</v>
      </c>
      <c r="B5" t="str">
        <v>Gri: ortak hareket | Mavi: WAC | Yeşil: FIFO | Turuncu: Son Alış | Mor: seçili resmi yöntem</v>
      </c>
    </row>
    <row r="7">
      <c r="A7" t="str">
        <v>Ortak hareket verisi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Ağırlıklı Ortalama / WAC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FIFO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Son Alış Fiyatı</v>
      </c>
      <c r="X7" t="str">
        <v/>
      </c>
      <c r="Y7" t="str">
        <v/>
      </c>
      <c r="Z7" t="str">
        <v/>
      </c>
      <c r="AA7" t="str">
        <v>Seçili resmi yöntem</v>
      </c>
    </row>
    <row r="8">
      <c r="A8" t="str">
        <v>No</v>
      </c>
      <c r="B8" t="str">
        <v>Tarih/Saat</v>
      </c>
      <c r="C8" t="str">
        <v>Hareket ID</v>
      </c>
      <c r="D8" t="str">
        <v>Hareket Tipi</v>
      </c>
      <c r="E8" t="str">
        <v>Girdi kg</v>
      </c>
      <c r="F8" t="str">
        <v>Çıktı kg</v>
      </c>
      <c r="G8" t="str">
        <v>Alış birim fiyatı</v>
      </c>
      <c r="H8" t="str">
        <v>Açıklama</v>
      </c>
      <c r="I8" t="str">
        <v>WAC önceki kg</v>
      </c>
      <c r="J8" t="str">
        <v>WAC önceki değer</v>
      </c>
      <c r="K8" t="str">
        <v>WAC çıkış birim</v>
      </c>
      <c r="L8" t="str">
        <v>WAC hareket maliyeti</v>
      </c>
      <c r="M8" t="str">
        <v>WAC bakiye kg</v>
      </c>
      <c r="N8" t="str">
        <v>WAC bakiye değer</v>
      </c>
      <c r="O8" t="str">
        <v>WAC ortalama birim</v>
      </c>
      <c r="P8" t="str">
        <v>FIFO çıkış birim</v>
      </c>
      <c r="Q8" t="str">
        <v>FIFO hareket maliyeti</v>
      </c>
      <c r="R8" t="str">
        <v>FIFO açık lot kg</v>
      </c>
      <c r="S8" t="str">
        <v>FIFO açık lot değeri</v>
      </c>
      <c r="T8" t="str">
        <v>FIFO negatif kg</v>
      </c>
      <c r="U8" t="str">
        <v>FIFO negatif birim</v>
      </c>
      <c r="V8" t="str">
        <v>FIFO notu</v>
      </c>
      <c r="W8" t="str">
        <v>Son alış birim</v>
      </c>
      <c r="X8" t="str">
        <v>Son alış hareket maliyeti</v>
      </c>
      <c r="Y8" t="str">
        <v>Son alış bakiye kg</v>
      </c>
      <c r="Z8" t="str">
        <v>Son alış bakiye değer</v>
      </c>
      <c r="AA8" t="str">
        <v>Seçili yöntem birim</v>
      </c>
      <c r="AB8" t="str">
        <v>Seçili yöntem hareket maliyeti</v>
      </c>
      <c r="AC8" t="str">
        <v>Seçili yöntem bakiye kg</v>
      </c>
      <c r="AD8" t="str">
        <v>Seçili yöntem bakiye değer</v>
      </c>
      <c r="AE8" t="str">
        <v>Stok durumu</v>
      </c>
    </row>
    <row r="9">
      <c r="A9">
        <v>1</v>
      </c>
      <c r="B9" t="str">
        <v>2026-06-01 09:00</v>
      </c>
      <c r="C9" t="str">
        <v>GR-001</v>
      </c>
      <c r="D9" t="str">
        <v>Alış girişi</v>
      </c>
      <c r="E9">
        <v>60</v>
      </c>
      <c r="G9">
        <v>420</v>
      </c>
      <c r="H9" t="str">
        <v>İlk Dana eti alımı</v>
      </c>
      <c r="I9">
        <v>0</v>
      </c>
      <c r="J9">
        <v>0</v>
      </c>
      <c r="L9">
        <v>25200</v>
      </c>
      <c r="M9">
        <v>60</v>
      </c>
      <c r="N9">
        <v>25200</v>
      </c>
      <c r="O9">
        <v>420</v>
      </c>
      <c r="Q9">
        <v>25200</v>
      </c>
      <c r="R9">
        <v>60</v>
      </c>
      <c r="S9">
        <v>25200</v>
      </c>
      <c r="T9">
        <v>0</v>
      </c>
      <c r="V9" t="str">
        <v>60 kg yeni FIFO lotu açıldı</v>
      </c>
      <c r="W9">
        <v>420</v>
      </c>
      <c r="X9">
        <v>25200</v>
      </c>
      <c r="Y9">
        <v>60</v>
      </c>
      <c r="Z9">
        <v>25200</v>
      </c>
      <c r="AA9" t="str">
        <f>IF($B$3="FIFO",P9,IF($B$3="Son Alış",W9,O9))</f>
        <v>420</v>
      </c>
      <c r="AB9" t="str">
        <f>IF($B$3="FIFO",Q9,IF($B$3="Son Alış",X9,L9))</f>
        <v>25200</v>
      </c>
      <c r="AC9" t="str">
        <f>IF($B$3="FIFO",R9,IF($B$3="Son Alış",Y9,M9))</f>
        <v>60</v>
      </c>
      <c r="AD9" t="str">
        <f>IF($B$3="FIFO",S9,IF($B$3="Son Alış",Z9,N9))</f>
        <v>25200</v>
      </c>
      <c r="AE9" t="str">
        <f>IF(AC9&lt;0,"NEGATİF STOK","OK")</f>
        <v>OK</v>
      </c>
    </row>
    <row r="10">
      <c r="A10">
        <v>2</v>
      </c>
      <c r="B10" t="str">
        <v>2026-06-01 13:00</v>
      </c>
      <c r="C10" t="str">
        <v>CK-001</v>
      </c>
      <c r="D10" t="str">
        <v>Reçete tüketimi</v>
      </c>
      <c r="F10">
        <v>22</v>
      </c>
      <c r="H10" t="str">
        <v>Öğle servis tüketimi</v>
      </c>
      <c r="I10">
        <v>60</v>
      </c>
      <c r="J10">
        <v>25200</v>
      </c>
      <c r="K10">
        <v>420</v>
      </c>
      <c r="L10">
        <v>9240</v>
      </c>
      <c r="M10">
        <v>38</v>
      </c>
      <c r="N10">
        <v>15960</v>
      </c>
      <c r="O10">
        <v>420</v>
      </c>
      <c r="P10">
        <v>420</v>
      </c>
      <c r="Q10">
        <v>9240</v>
      </c>
      <c r="R10">
        <v>38</v>
      </c>
      <c r="S10">
        <v>15960</v>
      </c>
      <c r="T10">
        <v>0</v>
      </c>
      <c r="V10" t="str">
        <v/>
      </c>
      <c r="W10">
        <v>420</v>
      </c>
      <c r="X10">
        <v>9240</v>
      </c>
      <c r="Y10">
        <v>38</v>
      </c>
      <c r="Z10">
        <v>15960</v>
      </c>
      <c r="AA10" t="str">
        <f>IF($B$3="FIFO",P10,IF($B$3="Son Alış",W10,O10))</f>
        <v>420</v>
      </c>
      <c r="AB10" t="str">
        <f>IF($B$3="FIFO",Q10,IF($B$3="Son Alış",X10,L10))</f>
        <v>9240</v>
      </c>
      <c r="AC10" t="str">
        <f>IF($B$3="FIFO",R10,IF($B$3="Son Alış",Y10,M10))</f>
        <v>38</v>
      </c>
      <c r="AD10" t="str">
        <f>IF($B$3="FIFO",S10,IF($B$3="Son Alış",Z10,N10))</f>
        <v>15960</v>
      </c>
      <c r="AE10" t="str">
        <f>IF(AC10&lt;0,"NEGATİF STOK","OK")</f>
        <v>OK</v>
      </c>
    </row>
    <row r="11">
      <c r="A11">
        <v>3</v>
      </c>
      <c r="B11" t="str">
        <v>2026-06-02 20:30</v>
      </c>
      <c r="C11" t="str">
        <v>CK-002</v>
      </c>
      <c r="D11" t="str">
        <v>Reçete tüketimi</v>
      </c>
      <c r="F11">
        <v>30</v>
      </c>
      <c r="H11" t="str">
        <v>Akşam servis tüketimi</v>
      </c>
      <c r="I11">
        <v>38</v>
      </c>
      <c r="J11">
        <v>15960</v>
      </c>
      <c r="K11">
        <v>420</v>
      </c>
      <c r="L11">
        <v>12600</v>
      </c>
      <c r="M11">
        <v>8</v>
      </c>
      <c r="N11">
        <v>3360</v>
      </c>
      <c r="O11">
        <v>420</v>
      </c>
      <c r="P11">
        <v>420</v>
      </c>
      <c r="Q11">
        <v>12600</v>
      </c>
      <c r="R11">
        <v>8</v>
      </c>
      <c r="S11">
        <v>3360</v>
      </c>
      <c r="T11">
        <v>0</v>
      </c>
      <c r="V11" t="str">
        <v/>
      </c>
      <c r="W11">
        <v>420</v>
      </c>
      <c r="X11">
        <v>12600</v>
      </c>
      <c r="Y11">
        <v>8</v>
      </c>
      <c r="Z11">
        <v>3360</v>
      </c>
      <c r="AA11" t="str">
        <f>IF($B$3="FIFO",P11,IF($B$3="Son Alış",W11,O11))</f>
        <v>420</v>
      </c>
      <c r="AB11" t="str">
        <f>IF($B$3="FIFO",Q11,IF($B$3="Son Alış",X11,L11))</f>
        <v>12600</v>
      </c>
      <c r="AC11" t="str">
        <f>IF($B$3="FIFO",R11,IF($B$3="Son Alış",Y11,M11))</f>
        <v>8</v>
      </c>
      <c r="AD11" t="str">
        <f>IF($B$3="FIFO",S11,IF($B$3="Son Alış",Z11,N11))</f>
        <v>3360</v>
      </c>
      <c r="AE11" t="str">
        <f>IF(AC11&lt;0,"NEGATİF STOK","OK")</f>
        <v>OK</v>
      </c>
    </row>
    <row r="12">
      <c r="A12">
        <v>4</v>
      </c>
      <c r="B12" t="str">
        <v>2026-06-03 10:15</v>
      </c>
      <c r="C12" t="str">
        <v>GR-002</v>
      </c>
      <c r="D12" t="str">
        <v>Alış girişi</v>
      </c>
      <c r="E12">
        <v>40</v>
      </c>
      <c r="G12">
        <v>455</v>
      </c>
      <c r="H12" t="str">
        <v>Fiyat artışlı alım</v>
      </c>
      <c r="I12">
        <v>8</v>
      </c>
      <c r="J12">
        <v>3360</v>
      </c>
      <c r="L12">
        <v>18200</v>
      </c>
      <c r="M12">
        <v>48</v>
      </c>
      <c r="N12">
        <v>21560</v>
      </c>
      <c r="O12">
        <v>449.166667</v>
      </c>
      <c r="Q12">
        <v>18200</v>
      </c>
      <c r="R12">
        <v>48</v>
      </c>
      <c r="S12">
        <v>21560</v>
      </c>
      <c r="T12">
        <v>0</v>
      </c>
      <c r="V12" t="str">
        <v>40 kg yeni FIFO lotu açıldı</v>
      </c>
      <c r="W12">
        <v>455</v>
      </c>
      <c r="X12">
        <v>18200</v>
      </c>
      <c r="Y12">
        <v>48</v>
      </c>
      <c r="Z12">
        <v>21840</v>
      </c>
      <c r="AA12" t="str">
        <f>IF($B$3="FIFO",P12,IF($B$3="Son Alış",W12,O12))</f>
        <v>449.166667</v>
      </c>
      <c r="AB12" t="str">
        <f>IF($B$3="FIFO",Q12,IF($B$3="Son Alış",X12,L12))</f>
        <v>18200</v>
      </c>
      <c r="AC12" t="str">
        <f>IF($B$3="FIFO",R12,IF($B$3="Son Alış",Y12,M12))</f>
        <v>48</v>
      </c>
      <c r="AD12" t="str">
        <f>IF($B$3="FIFO",S12,IF($B$3="Son Alış",Z12,N12))</f>
        <v>21560</v>
      </c>
      <c r="AE12" t="str">
        <f>IF(AC12&lt;0,"NEGATİF STOK","OK")</f>
        <v>OK</v>
      </c>
    </row>
    <row r="13">
      <c r="A13">
        <v>5</v>
      </c>
      <c r="B13" t="str">
        <v>2026-06-03 19:00</v>
      </c>
      <c r="C13" t="str">
        <v>CK-003</v>
      </c>
      <c r="D13" t="str">
        <v>Reçete tüketimi</v>
      </c>
      <c r="F13">
        <v>15</v>
      </c>
      <c r="H13" t="str">
        <v>Servis tüketimi</v>
      </c>
      <c r="I13">
        <v>48</v>
      </c>
      <c r="J13">
        <v>21560</v>
      </c>
      <c r="K13">
        <v>449.166667</v>
      </c>
      <c r="L13">
        <v>6737.5</v>
      </c>
      <c r="M13">
        <v>33</v>
      </c>
      <c r="N13">
        <v>14822.5</v>
      </c>
      <c r="O13">
        <v>449.166667</v>
      </c>
      <c r="P13">
        <v>436.333333</v>
      </c>
      <c r="Q13">
        <v>6545</v>
      </c>
      <c r="R13">
        <v>33</v>
      </c>
      <c r="S13">
        <v>15015</v>
      </c>
      <c r="T13">
        <v>0</v>
      </c>
      <c r="V13" t="str">
        <v/>
      </c>
      <c r="W13">
        <v>455</v>
      </c>
      <c r="X13">
        <v>6825</v>
      </c>
      <c r="Y13">
        <v>33</v>
      </c>
      <c r="Z13">
        <v>15015</v>
      </c>
      <c r="AA13" t="str">
        <f>IF($B$3="FIFO",P13,IF($B$3="Son Alış",W13,O13))</f>
        <v>449.166667</v>
      </c>
      <c r="AB13" t="str">
        <f>IF($B$3="FIFO",Q13,IF($B$3="Son Alış",X13,L13))</f>
        <v>6737.5</v>
      </c>
      <c r="AC13" t="str">
        <f>IF($B$3="FIFO",R13,IF($B$3="Son Alış",Y13,M13))</f>
        <v>33</v>
      </c>
      <c r="AD13" t="str">
        <f>IF($B$3="FIFO",S13,IF($B$3="Son Alış",Z13,N13))</f>
        <v>14822.5</v>
      </c>
      <c r="AE13" t="str">
        <f>IF(AC13&lt;0,"NEGATİF STOK","OK")</f>
        <v>OK</v>
      </c>
    </row>
    <row r="14">
      <c r="A14">
        <v>6</v>
      </c>
      <c r="B14" t="str">
        <v>2026-06-04 08:30</v>
      </c>
      <c r="C14" t="str">
        <v>FIR-001</v>
      </c>
      <c r="D14" t="str">
        <v>Fire/trim</v>
      </c>
      <c r="F14">
        <v>5</v>
      </c>
      <c r="H14" t="str">
        <v>Temizleme firesi</v>
      </c>
      <c r="I14">
        <v>33</v>
      </c>
      <c r="J14">
        <v>14822.5</v>
      </c>
      <c r="K14">
        <v>449.166667</v>
      </c>
      <c r="L14">
        <v>2245.833333</v>
      </c>
      <c r="M14">
        <v>28</v>
      </c>
      <c r="N14">
        <v>12576.666667</v>
      </c>
      <c r="O14">
        <v>449.166667</v>
      </c>
      <c r="P14">
        <v>455</v>
      </c>
      <c r="Q14">
        <v>2275</v>
      </c>
      <c r="R14">
        <v>28</v>
      </c>
      <c r="S14">
        <v>12740</v>
      </c>
      <c r="T14">
        <v>0</v>
      </c>
      <c r="V14" t="str">
        <v/>
      </c>
      <c r="W14">
        <v>455</v>
      </c>
      <c r="X14">
        <v>2275</v>
      </c>
      <c r="Y14">
        <v>28</v>
      </c>
      <c r="Z14">
        <v>12740</v>
      </c>
      <c r="AA14" t="str">
        <f>IF($B$3="FIFO",P14,IF($B$3="Son Alış",W14,O14))</f>
        <v>449.166667</v>
      </c>
      <c r="AB14" t="str">
        <f>IF($B$3="FIFO",Q14,IF($B$3="Son Alış",X14,L14))</f>
        <v>2245.833333</v>
      </c>
      <c r="AC14" t="str">
        <f>IF($B$3="FIFO",R14,IF($B$3="Son Alış",Y14,M14))</f>
        <v>28</v>
      </c>
      <c r="AD14" t="str">
        <f>IF($B$3="FIFO",S14,IF($B$3="Son Alış",Z14,N14))</f>
        <v>12576.666667</v>
      </c>
      <c r="AE14" t="str">
        <f>IF(AC14&lt;0,"NEGATİF STOK","OK")</f>
        <v>OK</v>
      </c>
    </row>
    <row r="15">
      <c r="A15">
        <v>7</v>
      </c>
      <c r="B15" t="str">
        <v>2026-06-04 11:00</v>
      </c>
      <c r="C15" t="str">
        <v>GR-003</v>
      </c>
      <c r="D15" t="str">
        <v>Alış girişi</v>
      </c>
      <c r="E15">
        <v>25</v>
      </c>
      <c r="G15">
        <v>470</v>
      </c>
      <c r="H15" t="str">
        <v>Yeni parti alım</v>
      </c>
      <c r="I15">
        <v>28</v>
      </c>
      <c r="J15">
        <v>12576.666667</v>
      </c>
      <c r="L15">
        <v>11750</v>
      </c>
      <c r="M15">
        <v>53</v>
      </c>
      <c r="N15">
        <v>24326.666667</v>
      </c>
      <c r="O15">
        <v>458.993711</v>
      </c>
      <c r="Q15">
        <v>11750</v>
      </c>
      <c r="R15">
        <v>53</v>
      </c>
      <c r="S15">
        <v>24490</v>
      </c>
      <c r="T15">
        <v>0</v>
      </c>
      <c r="V15" t="str">
        <v>25 kg yeni FIFO lotu açıldı</v>
      </c>
      <c r="W15">
        <v>470</v>
      </c>
      <c r="X15">
        <v>11750</v>
      </c>
      <c r="Y15">
        <v>53</v>
      </c>
      <c r="Z15">
        <v>24910</v>
      </c>
      <c r="AA15" t="str">
        <f>IF($B$3="FIFO",P15,IF($B$3="Son Alış",W15,O15))</f>
        <v>458.993711</v>
      </c>
      <c r="AB15" t="str">
        <f>IF($B$3="FIFO",Q15,IF($B$3="Son Alış",X15,L15))</f>
        <v>11750</v>
      </c>
      <c r="AC15" t="str">
        <f>IF($B$3="FIFO",R15,IF($B$3="Son Alış",Y15,M15))</f>
        <v>53</v>
      </c>
      <c r="AD15" t="str">
        <f>IF($B$3="FIFO",S15,IF($B$3="Son Alış",Z15,N15))</f>
        <v>24326.666667</v>
      </c>
      <c r="AE15" t="str">
        <f>IF(AC15&lt;0,"NEGATİF STOK","OK")</f>
        <v>OK</v>
      </c>
    </row>
    <row r="16">
      <c r="A16">
        <v>8</v>
      </c>
      <c r="B16" t="str">
        <v>2026-06-05 21:30</v>
      </c>
      <c r="C16" t="str">
        <v>CK-004</v>
      </c>
      <c r="D16" t="str">
        <v>Reçete tüketimi</v>
      </c>
      <c r="F16">
        <v>38</v>
      </c>
      <c r="H16" t="str">
        <v>Yoğun servis tüketimi</v>
      </c>
      <c r="I16">
        <v>53</v>
      </c>
      <c r="J16">
        <v>24326.666667</v>
      </c>
      <c r="K16">
        <v>458.993711</v>
      </c>
      <c r="L16">
        <v>17441.761006</v>
      </c>
      <c r="M16">
        <v>15</v>
      </c>
      <c r="N16">
        <v>6884.90566</v>
      </c>
      <c r="O16">
        <v>458.993711</v>
      </c>
      <c r="P16">
        <v>458.947368</v>
      </c>
      <c r="Q16">
        <v>17440</v>
      </c>
      <c r="R16">
        <v>15</v>
      </c>
      <c r="S16">
        <v>7050</v>
      </c>
      <c r="T16">
        <v>0</v>
      </c>
      <c r="V16" t="str">
        <v/>
      </c>
      <c r="W16">
        <v>470</v>
      </c>
      <c r="X16">
        <v>17860</v>
      </c>
      <c r="Y16">
        <v>15</v>
      </c>
      <c r="Z16">
        <v>7050</v>
      </c>
      <c r="AA16" t="str">
        <f>IF($B$3="FIFO",P16,IF($B$3="Son Alış",W16,O16))</f>
        <v>458.993711</v>
      </c>
      <c r="AB16" t="str">
        <f>IF($B$3="FIFO",Q16,IF($B$3="Son Alış",X16,L16))</f>
        <v>17441.761006</v>
      </c>
      <c r="AC16" t="str">
        <f>IF($B$3="FIFO",R16,IF($B$3="Son Alış",Y16,M16))</f>
        <v>15</v>
      </c>
      <c r="AD16" t="str">
        <f>IF($B$3="FIFO",S16,IF($B$3="Son Alış",Z16,N16))</f>
        <v>6884.90566</v>
      </c>
      <c r="AE16" t="str">
        <f>IF(AC16&lt;0,"NEGATİF STOK","OK")</f>
        <v>OK</v>
      </c>
    </row>
    <row r="17">
      <c r="A17">
        <v>9</v>
      </c>
      <c r="B17" t="str">
        <v>2026-06-06 22:00</v>
      </c>
      <c r="C17" t="str">
        <v>CK-005</v>
      </c>
      <c r="D17" t="str">
        <v>Reçete tüketimi</v>
      </c>
      <c r="F17">
        <v>24</v>
      </c>
      <c r="H17" t="str">
        <v>NEGATİF STOK: kayıt fiili stoktan fazla tüketim gösteriyor</v>
      </c>
      <c r="I17">
        <v>15</v>
      </c>
      <c r="J17">
        <v>6884.90566</v>
      </c>
      <c r="K17">
        <v>458.993711</v>
      </c>
      <c r="L17">
        <v>11015.849057</v>
      </c>
      <c r="M17">
        <v>-9</v>
      </c>
      <c r="N17">
        <v>-4130.943396</v>
      </c>
      <c r="O17">
        <v>458.993711</v>
      </c>
      <c r="P17">
        <v>470</v>
      </c>
      <c r="Q17">
        <v>11280</v>
      </c>
      <c r="R17">
        <v>-9</v>
      </c>
      <c r="S17">
        <v>-4230</v>
      </c>
      <c r="T17">
        <v>9</v>
      </c>
      <c r="U17">
        <v>470</v>
      </c>
      <c r="V17" t="str">
        <v>Mevcut FIFO lotu yetmedi; 9 kg negatif stok olarak maliyetlendi</v>
      </c>
      <c r="W17">
        <v>470</v>
      </c>
      <c r="X17">
        <v>11280</v>
      </c>
      <c r="Y17">
        <v>-9</v>
      </c>
      <c r="Z17">
        <v>-4230</v>
      </c>
      <c r="AA17" t="str">
        <f>IF($B$3="FIFO",P17,IF($B$3="Son Alış",W17,O17))</f>
        <v>458.993711</v>
      </c>
      <c r="AB17" t="str">
        <f>IF($B$3="FIFO",Q17,IF($B$3="Son Alış",X17,L17))</f>
        <v>11015.849057</v>
      </c>
      <c r="AC17" t="str">
        <f>IF($B$3="FIFO",R17,IF($B$3="Son Alış",Y17,M17))</f>
        <v>-9</v>
      </c>
      <c r="AD17" t="str">
        <f>IF($B$3="FIFO",S17,IF($B$3="Son Alış",Z17,N17))</f>
        <v>-4130.943396</v>
      </c>
      <c r="AE17" t="str">
        <f>IF(AC17&lt;0,"NEGATİF STOK","OK")</f>
        <v>NEGATİF STOK</v>
      </c>
    </row>
    <row r="18">
      <c r="A18">
        <v>10</v>
      </c>
      <c r="B18" t="str">
        <v>2026-06-07 09:20</v>
      </c>
      <c r="C18" t="str">
        <v>GR-004</v>
      </c>
      <c r="D18" t="str">
        <v>Alış girişi</v>
      </c>
      <c r="E18">
        <v>20</v>
      </c>
      <c r="G18">
        <v>510</v>
      </c>
      <c r="H18" t="str">
        <v>Negatif stok kapatma alımı</v>
      </c>
      <c r="I18">
        <v>-9</v>
      </c>
      <c r="J18">
        <v>-4130.943396</v>
      </c>
      <c r="L18">
        <v>10200</v>
      </c>
      <c r="M18">
        <v>11</v>
      </c>
      <c r="N18">
        <v>5610</v>
      </c>
      <c r="O18">
        <v>510</v>
      </c>
      <c r="Q18">
        <v>10200</v>
      </c>
      <c r="R18">
        <v>11</v>
      </c>
      <c r="S18">
        <v>5610</v>
      </c>
      <c r="T18">
        <v>0</v>
      </c>
      <c r="V18" t="str">
        <v>Önceki negatif stoktan 9 kg kapandı; 11 kg yeni FIFO lotu açıldı</v>
      </c>
      <c r="W18">
        <v>510</v>
      </c>
      <c r="X18">
        <v>10200</v>
      </c>
      <c r="Y18">
        <v>11</v>
      </c>
      <c r="Z18">
        <v>5610</v>
      </c>
      <c r="AA18" t="str">
        <f>IF($B$3="FIFO",P18,IF($B$3="Son Alış",W18,O18))</f>
        <v>510</v>
      </c>
      <c r="AB18" t="str">
        <f>IF($B$3="FIFO",Q18,IF($B$3="Son Alış",X18,L18))</f>
        <v>10200</v>
      </c>
      <c r="AC18" t="str">
        <f>IF($B$3="FIFO",R18,IF($B$3="Son Alış",Y18,M18))</f>
        <v>11</v>
      </c>
      <c r="AD18" t="str">
        <f>IF($B$3="FIFO",S18,IF($B$3="Son Alış",Z18,N18))</f>
        <v>5610</v>
      </c>
      <c r="AE18" t="str">
        <f>IF(AC18&lt;0,"NEGATİF STOK","OK")</f>
        <v>OK</v>
      </c>
    </row>
    <row r="19">
      <c r="A19">
        <v>11</v>
      </c>
      <c r="B19" t="str">
        <v>2026-06-07 15:00</v>
      </c>
      <c r="C19" t="str">
        <v>CK-006</v>
      </c>
      <c r="D19" t="str">
        <v>Reçete tüketimi</v>
      </c>
      <c r="F19">
        <v>6</v>
      </c>
      <c r="H19" t="str">
        <v>Servis tüketimi</v>
      </c>
      <c r="I19">
        <v>11</v>
      </c>
      <c r="J19">
        <v>5610</v>
      </c>
      <c r="K19">
        <v>510</v>
      </c>
      <c r="L19">
        <v>3060</v>
      </c>
      <c r="M19">
        <v>5</v>
      </c>
      <c r="N19">
        <v>2550</v>
      </c>
      <c r="O19">
        <v>510</v>
      </c>
      <c r="P19">
        <v>510</v>
      </c>
      <c r="Q19">
        <v>3060</v>
      </c>
      <c r="R19">
        <v>5</v>
      </c>
      <c r="S19">
        <v>2550</v>
      </c>
      <c r="T19">
        <v>0</v>
      </c>
      <c r="V19" t="str">
        <v/>
      </c>
      <c r="W19">
        <v>510</v>
      </c>
      <c r="X19">
        <v>3060</v>
      </c>
      <c r="Y19">
        <v>5</v>
      </c>
      <c r="Z19">
        <v>2550</v>
      </c>
      <c r="AA19" t="str">
        <f>IF($B$3="FIFO",P19,IF($B$3="Son Alış",W19,O19))</f>
        <v>510</v>
      </c>
      <c r="AB19" t="str">
        <f>IF($B$3="FIFO",Q19,IF($B$3="Son Alış",X19,L19))</f>
        <v>3060</v>
      </c>
      <c r="AC19" t="str">
        <f>IF($B$3="FIFO",R19,IF($B$3="Son Alış",Y19,M19))</f>
        <v>5</v>
      </c>
      <c r="AD19" t="str">
        <f>IF($B$3="FIFO",S19,IF($B$3="Son Alış",Z19,N19))</f>
        <v>2550</v>
      </c>
      <c r="AE19" t="str">
        <f>IF(AC19&lt;0,"NEGATİF STOK","OK")</f>
        <v>OK</v>
      </c>
    </row>
    <row r="20">
      <c r="A20">
        <v>12</v>
      </c>
      <c r="B20" t="str">
        <v>2026-06-08 10:00</v>
      </c>
      <c r="C20" t="str">
        <v>GR-005</v>
      </c>
      <c r="D20" t="str">
        <v>Alış girişi</v>
      </c>
      <c r="E20">
        <v>50</v>
      </c>
      <c r="G20">
        <v>530</v>
      </c>
      <c r="H20" t="str">
        <v>Haftalık alım</v>
      </c>
      <c r="I20">
        <v>5</v>
      </c>
      <c r="J20">
        <v>2550</v>
      </c>
      <c r="L20">
        <v>26500</v>
      </c>
      <c r="M20">
        <v>55</v>
      </c>
      <c r="N20">
        <v>29050</v>
      </c>
      <c r="O20">
        <v>528.181818</v>
      </c>
      <c r="Q20">
        <v>26500</v>
      </c>
      <c r="R20">
        <v>55</v>
      </c>
      <c r="S20">
        <v>29050</v>
      </c>
      <c r="T20">
        <v>0</v>
      </c>
      <c r="V20" t="str">
        <v>50 kg yeni FIFO lotu açıldı</v>
      </c>
      <c r="W20">
        <v>530</v>
      </c>
      <c r="X20">
        <v>26500</v>
      </c>
      <c r="Y20">
        <v>55</v>
      </c>
      <c r="Z20">
        <v>29150</v>
      </c>
      <c r="AA20" t="str">
        <f>IF($B$3="FIFO",P20,IF($B$3="Son Alış",W20,O20))</f>
        <v>528.181818</v>
      </c>
      <c r="AB20" t="str">
        <f>IF($B$3="FIFO",Q20,IF($B$3="Son Alış",X20,L20))</f>
        <v>26500</v>
      </c>
      <c r="AC20" t="str">
        <f>IF($B$3="FIFO",R20,IF($B$3="Son Alış",Y20,M20))</f>
        <v>55</v>
      </c>
      <c r="AD20" t="str">
        <f>IF($B$3="FIFO",S20,IF($B$3="Son Alış",Z20,N20))</f>
        <v>29050</v>
      </c>
      <c r="AE20" t="str">
        <f>IF(AC20&lt;0,"NEGATİF STOK","OK")</f>
        <v>OK</v>
      </c>
    </row>
    <row r="21">
      <c r="A21">
        <v>13</v>
      </c>
      <c r="B21" t="str">
        <v>2026-06-08 22:15</v>
      </c>
      <c r="C21" t="str">
        <v>CK-007</v>
      </c>
      <c r="D21" t="str">
        <v>Reçete tüketimi</v>
      </c>
      <c r="F21">
        <v>35</v>
      </c>
      <c r="H21" t="str">
        <v>Akşam servis tüketimi</v>
      </c>
      <c r="I21">
        <v>55</v>
      </c>
      <c r="J21">
        <v>29050</v>
      </c>
      <c r="K21">
        <v>528.181818</v>
      </c>
      <c r="L21">
        <v>18486.363636</v>
      </c>
      <c r="M21">
        <v>20</v>
      </c>
      <c r="N21">
        <v>10563.636364</v>
      </c>
      <c r="O21">
        <v>528.181818</v>
      </c>
      <c r="P21">
        <v>527.142857</v>
      </c>
      <c r="Q21">
        <v>18450</v>
      </c>
      <c r="R21">
        <v>20</v>
      </c>
      <c r="S21">
        <v>10600</v>
      </c>
      <c r="T21">
        <v>0</v>
      </c>
      <c r="V21" t="str">
        <v/>
      </c>
      <c r="W21">
        <v>530</v>
      </c>
      <c r="X21">
        <v>18550</v>
      </c>
      <c r="Y21">
        <v>20</v>
      </c>
      <c r="Z21">
        <v>10600</v>
      </c>
      <c r="AA21" t="str">
        <f>IF($B$3="FIFO",P21,IF($B$3="Son Alış",W21,O21))</f>
        <v>528.181818</v>
      </c>
      <c r="AB21" t="str">
        <f>IF($B$3="FIFO",Q21,IF($B$3="Son Alış",X21,L21))</f>
        <v>18486.363636</v>
      </c>
      <c r="AC21" t="str">
        <f>IF($B$3="FIFO",R21,IF($B$3="Son Alış",Y21,M21))</f>
        <v>20</v>
      </c>
      <c r="AD21" t="str">
        <f>IF($B$3="FIFO",S21,IF($B$3="Son Alış",Z21,N21))</f>
        <v>10563.636364</v>
      </c>
      <c r="AE21" t="str">
        <f>IF(AC21&lt;0,"NEGATİF STOK","OK")</f>
        <v>OK</v>
      </c>
    </row>
    <row r="22">
      <c r="A22">
        <v>14</v>
      </c>
      <c r="B22" t="str">
        <v>2026-06-09 22:30</v>
      </c>
      <c r="C22" t="str">
        <v>CK-008</v>
      </c>
      <c r="D22" t="str">
        <v>Reçete tüketimi</v>
      </c>
      <c r="F22">
        <v>28</v>
      </c>
      <c r="H22" t="str">
        <v>NEGATİF STOK: ikinci açık</v>
      </c>
      <c r="I22">
        <v>20</v>
      </c>
      <c r="J22">
        <v>10563.636364</v>
      </c>
      <c r="K22">
        <v>528.181818</v>
      </c>
      <c r="L22">
        <v>14789.090909</v>
      </c>
      <c r="M22">
        <v>-8</v>
      </c>
      <c r="N22">
        <v>-4225.454545</v>
      </c>
      <c r="O22">
        <v>528.181818</v>
      </c>
      <c r="P22">
        <v>530</v>
      </c>
      <c r="Q22">
        <v>14840</v>
      </c>
      <c r="R22">
        <v>-8</v>
      </c>
      <c r="S22">
        <v>-4240</v>
      </c>
      <c r="T22">
        <v>8</v>
      </c>
      <c r="U22">
        <v>530</v>
      </c>
      <c r="V22" t="str">
        <v>Mevcut FIFO lotu yetmedi; 8 kg negatif stok olarak maliyetlendi</v>
      </c>
      <c r="W22">
        <v>530</v>
      </c>
      <c r="X22">
        <v>14840</v>
      </c>
      <c r="Y22">
        <v>-8</v>
      </c>
      <c r="Z22">
        <v>-4240</v>
      </c>
      <c r="AA22" t="str">
        <f>IF($B$3="FIFO",P22,IF($B$3="Son Alış",W22,O22))</f>
        <v>528.181818</v>
      </c>
      <c r="AB22" t="str">
        <f>IF($B$3="FIFO",Q22,IF($B$3="Son Alış",X22,L22))</f>
        <v>14789.090909</v>
      </c>
      <c r="AC22" t="str">
        <f>IF($B$3="FIFO",R22,IF($B$3="Son Alış",Y22,M22))</f>
        <v>-8</v>
      </c>
      <c r="AD22" t="str">
        <f>IF($B$3="FIFO",S22,IF($B$3="Son Alış",Z22,N22))</f>
        <v>-4225.454545</v>
      </c>
      <c r="AE22" t="str">
        <f>IF(AC22&lt;0,"NEGATİF STOK","OK")</f>
        <v>NEGATİF STOK</v>
      </c>
    </row>
    <row r="23">
      <c r="A23">
        <v>15</v>
      </c>
      <c r="B23" t="str">
        <v>2026-06-10 09:10</v>
      </c>
      <c r="C23" t="str">
        <v>GR-006</v>
      </c>
      <c r="D23" t="str">
        <v>Alış girişi</v>
      </c>
      <c r="E23">
        <v>20</v>
      </c>
      <c r="G23">
        <v>560</v>
      </c>
      <c r="H23" t="str">
        <v>Negatif stok kapatma alımı</v>
      </c>
      <c r="I23">
        <v>-8</v>
      </c>
      <c r="J23">
        <v>-4225.454545</v>
      </c>
      <c r="L23">
        <v>11200</v>
      </c>
      <c r="M23">
        <v>12</v>
      </c>
      <c r="N23">
        <v>6720</v>
      </c>
      <c r="O23">
        <v>560</v>
      </c>
      <c r="Q23">
        <v>11200</v>
      </c>
      <c r="R23">
        <v>12</v>
      </c>
      <c r="S23">
        <v>6720</v>
      </c>
      <c r="T23">
        <v>0</v>
      </c>
      <c r="V23" t="str">
        <v>Önceki negatif stoktan 8 kg kapandı; 12 kg yeni FIFO lotu açıldı</v>
      </c>
      <c r="W23">
        <v>560</v>
      </c>
      <c r="X23">
        <v>11200</v>
      </c>
      <c r="Y23">
        <v>12</v>
      </c>
      <c r="Z23">
        <v>6720</v>
      </c>
      <c r="AA23" t="str">
        <f>IF($B$3="FIFO",P23,IF($B$3="Son Alış",W23,O23))</f>
        <v>560</v>
      </c>
      <c r="AB23" t="str">
        <f>IF($B$3="FIFO",Q23,IF($B$3="Son Alış",X23,L23))</f>
        <v>11200</v>
      </c>
      <c r="AC23" t="str">
        <f>IF($B$3="FIFO",R23,IF($B$3="Son Alış",Y23,M23))</f>
        <v>12</v>
      </c>
      <c r="AD23" t="str">
        <f>IF($B$3="FIFO",S23,IF($B$3="Son Alış",Z23,N23))</f>
        <v>6720</v>
      </c>
      <c r="AE23" t="str">
        <f>IF(AC23&lt;0,"NEGATİF STOK","OK")</f>
        <v>OK</v>
      </c>
    </row>
    <row r="24">
      <c r="A24">
        <v>16</v>
      </c>
      <c r="B24" t="str">
        <v>2026-06-10 18:00</v>
      </c>
      <c r="C24" t="str">
        <v>SYM-001</v>
      </c>
      <c r="D24" t="str">
        <v>Sayım fazlası</v>
      </c>
      <c r="E24">
        <v>10</v>
      </c>
      <c r="G24">
        <v>550</v>
      </c>
      <c r="H24" t="str">
        <v>Sayım farkı girişi</v>
      </c>
      <c r="I24">
        <v>12</v>
      </c>
      <c r="J24">
        <v>6720</v>
      </c>
      <c r="L24">
        <v>5500</v>
      </c>
      <c r="M24">
        <v>22</v>
      </c>
      <c r="N24">
        <v>12220</v>
      </c>
      <c r="O24">
        <v>555.454545</v>
      </c>
      <c r="Q24">
        <v>5500</v>
      </c>
      <c r="R24">
        <v>22</v>
      </c>
      <c r="S24">
        <v>12220</v>
      </c>
      <c r="T24">
        <v>0</v>
      </c>
      <c r="V24" t="str">
        <v>10 kg yeni FIFO lotu açıldı</v>
      </c>
      <c r="W24">
        <v>550</v>
      </c>
      <c r="X24">
        <v>5500</v>
      </c>
      <c r="Y24">
        <v>22</v>
      </c>
      <c r="Z24">
        <v>12100</v>
      </c>
      <c r="AA24" t="str">
        <f>IF($B$3="FIFO",P24,IF($B$3="Son Alış",W24,O24))</f>
        <v>555.454545</v>
      </c>
      <c r="AB24" t="str">
        <f>IF($B$3="FIFO",Q24,IF($B$3="Son Alış",X24,L24))</f>
        <v>5500</v>
      </c>
      <c r="AC24" t="str">
        <f>IF($B$3="FIFO",R24,IF($B$3="Son Alış",Y24,M24))</f>
        <v>22</v>
      </c>
      <c r="AD24" t="str">
        <f>IF($B$3="FIFO",S24,IF($B$3="Son Alış",Z24,N24))</f>
        <v>12220</v>
      </c>
      <c r="AE24" t="str">
        <f>IF(AC24&lt;0,"NEGATİF STOK","OK")</f>
        <v>OK</v>
      </c>
    </row>
    <row r="25">
      <c r="A25">
        <v>17</v>
      </c>
      <c r="B25" t="str">
        <v>2026-06-11 14:00</v>
      </c>
      <c r="C25" t="str">
        <v>CK-009</v>
      </c>
      <c r="D25" t="str">
        <v>Reçete tüketimi</v>
      </c>
      <c r="F25">
        <v>20</v>
      </c>
      <c r="H25" t="str">
        <v>Servis tüketimi</v>
      </c>
      <c r="I25">
        <v>22</v>
      </c>
      <c r="J25">
        <v>12220</v>
      </c>
      <c r="K25">
        <v>555.454545</v>
      </c>
      <c r="L25">
        <v>11109.090909</v>
      </c>
      <c r="M25">
        <v>2</v>
      </c>
      <c r="N25">
        <v>1110.909091</v>
      </c>
      <c r="O25">
        <v>555.454545</v>
      </c>
      <c r="P25">
        <v>556</v>
      </c>
      <c r="Q25">
        <v>11120</v>
      </c>
      <c r="R25">
        <v>2</v>
      </c>
      <c r="S25">
        <v>1100</v>
      </c>
      <c r="T25">
        <v>0</v>
      </c>
      <c r="V25" t="str">
        <v/>
      </c>
      <c r="W25">
        <v>550</v>
      </c>
      <c r="X25">
        <v>11000</v>
      </c>
      <c r="Y25">
        <v>2</v>
      </c>
      <c r="Z25">
        <v>1100</v>
      </c>
      <c r="AA25" t="str">
        <f>IF($B$3="FIFO",P25,IF($B$3="Son Alış",W25,O25))</f>
        <v>555.454545</v>
      </c>
      <c r="AB25" t="str">
        <f>IF($B$3="FIFO",Q25,IF($B$3="Son Alış",X25,L25))</f>
        <v>11109.090909</v>
      </c>
      <c r="AC25" t="str">
        <f>IF($B$3="FIFO",R25,IF($B$3="Son Alış",Y25,M25))</f>
        <v>2</v>
      </c>
      <c r="AD25" t="str">
        <f>IF($B$3="FIFO",S25,IF($B$3="Son Alış",Z25,N25))</f>
        <v>1110.909091</v>
      </c>
      <c r="AE25" t="str">
        <f>IF(AC25&lt;0,"NEGATİF STOK","OK")</f>
        <v>OK</v>
      </c>
    </row>
  </sheetData>
  <autoFilter ref="A8:AE25"/>
  <mergeCells count="9">
    <mergeCell ref="A1:AE1"/>
    <mergeCell ref="A2:AE2"/>
    <mergeCell ref="D3:AE3"/>
    <mergeCell ref="B5:AE5"/>
    <mergeCell ref="A7:H7"/>
    <mergeCell ref="I7:O7"/>
    <mergeCell ref="P7:V7"/>
    <mergeCell ref="W7:Z7"/>
    <mergeCell ref="AA7:AE7"/>
  </mergeCells>
  <ignoredErrors>
    <ignoredError numberStoredAsText="1" sqref="A1:A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Dana_Eti_Tek_Tablo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