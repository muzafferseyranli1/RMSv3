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RMSv3\"/>
    </mc:Choice>
  </mc:AlternateContent>
  <xr:revisionPtr revIDLastSave="0" documentId="13_ncr:1_{2FD0A5A1-D12D-4833-BCB0-52C036A0A61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uzo" sheetId="1" r:id="rId1"/>
  </sheets>
  <definedNames>
    <definedName name="_xlnm._FilterDatabase" localSheetId="0" hidden="1">muzo!$A$5:$AD$12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2" i="1" l="1"/>
  <c r="H12" i="1"/>
  <c r="M12" i="1" s="1"/>
  <c r="I11" i="1"/>
  <c r="H11" i="1"/>
  <c r="M11" i="1" s="1"/>
  <c r="AA10" i="1"/>
  <c r="S11" i="1" s="1"/>
  <c r="AA11" i="1" s="1"/>
  <c r="S12" i="1" s="1"/>
  <c r="AA12" i="1" s="1"/>
  <c r="I10" i="1"/>
  <c r="H10" i="1"/>
  <c r="M10" i="1" s="1"/>
  <c r="I9" i="1"/>
  <c r="H9" i="1"/>
  <c r="AA8" i="1"/>
  <c r="S9" i="1" s="1"/>
  <c r="AA9" i="1" s="1"/>
  <c r="I8" i="1"/>
  <c r="W8" i="1" s="1"/>
  <c r="H8" i="1"/>
  <c r="M8" i="1" s="1"/>
  <c r="I7" i="1"/>
  <c r="H7" i="1"/>
  <c r="AA6" i="1"/>
  <c r="S7" i="1" s="1"/>
  <c r="AA7" i="1" s="1"/>
  <c r="S8" i="1" s="1"/>
  <c r="S6" i="1"/>
  <c r="Q6" i="1"/>
  <c r="O6" i="1"/>
  <c r="K6" i="1"/>
  <c r="J6" i="1"/>
  <c r="L6" i="1" s="1"/>
  <c r="I6" i="1"/>
  <c r="H6" i="1"/>
  <c r="M6" i="1" s="1"/>
  <c r="AB10" i="1" l="1"/>
  <c r="AB6" i="1"/>
  <c r="R6" i="1"/>
  <c r="Q7" i="1" s="1"/>
  <c r="R7" i="1" s="1"/>
  <c r="Q8" i="1" s="1"/>
  <c r="R8" i="1" s="1"/>
  <c r="Q9" i="1" s="1"/>
  <c r="R9" i="1" s="1"/>
  <c r="Q10" i="1" s="1"/>
  <c r="R10" i="1" s="1"/>
  <c r="Q11" i="1" s="1"/>
  <c r="R11" i="1" s="1"/>
  <c r="Q12" i="1" s="1"/>
  <c r="R12" i="1" s="1"/>
  <c r="X6" i="1"/>
  <c r="X7" i="1" s="1"/>
  <c r="M7" i="1"/>
  <c r="AB12" i="1"/>
  <c r="S10" i="1"/>
  <c r="AB9" i="1"/>
  <c r="AC6" i="1"/>
  <c r="AD6" i="1" s="1"/>
  <c r="N6" i="1"/>
  <c r="U6" i="1" s="1"/>
  <c r="K7" i="1" s="1"/>
  <c r="AB8" i="1"/>
  <c r="M9" i="1"/>
  <c r="W6" i="1"/>
  <c r="Y6" i="1" s="1"/>
  <c r="AB7" i="1"/>
  <c r="W10" i="1"/>
  <c r="AB11" i="1"/>
  <c r="P6" i="1"/>
  <c r="T6" i="1"/>
  <c r="AC8" i="1" l="1"/>
  <c r="AD8" i="1" s="1"/>
  <c r="X8" i="1"/>
  <c r="X9" i="1" s="1"/>
  <c r="X10" i="1" s="1"/>
  <c r="AC7" i="1"/>
  <c r="AD7" i="1" s="1"/>
  <c r="Z6" i="1"/>
  <c r="O7" i="1"/>
  <c r="P7" i="1" s="1"/>
  <c r="O8" i="1" s="1"/>
  <c r="P8" i="1" s="1"/>
  <c r="O9" i="1" s="1"/>
  <c r="P9" i="1" s="1"/>
  <c r="O10" i="1" s="1"/>
  <c r="P10" i="1" s="1"/>
  <c r="O11" i="1" s="1"/>
  <c r="P11" i="1" s="1"/>
  <c r="O12" i="1" s="1"/>
  <c r="P12" i="1" s="1"/>
  <c r="V6" i="1"/>
  <c r="J7" i="1"/>
  <c r="AC10" i="1" l="1"/>
  <c r="AD10" i="1" s="1"/>
  <c r="AC9" i="1"/>
  <c r="AD9" i="1" s="1"/>
  <c r="W9" i="1"/>
  <c r="W11" i="1"/>
  <c r="W7" i="1"/>
  <c r="Y7" i="1" s="1"/>
  <c r="T7" i="1"/>
  <c r="L7" i="1"/>
  <c r="N7" i="1" s="1"/>
  <c r="U7" i="1" s="1"/>
  <c r="K8" i="1" s="1"/>
  <c r="W12" i="1"/>
  <c r="AC11" i="1"/>
  <c r="AD11" i="1" s="1"/>
  <c r="X11" i="1"/>
  <c r="J8" i="1" l="1"/>
  <c r="V7" i="1"/>
  <c r="Z7" i="1"/>
  <c r="Y8" i="1"/>
  <c r="Z8" i="1" s="1"/>
  <c r="X12" i="1"/>
  <c r="AC12" i="1"/>
  <c r="AD12" i="1" s="1"/>
  <c r="Y9" i="1" l="1"/>
  <c r="Y10" i="1" s="1"/>
  <c r="T8" i="1"/>
  <c r="L8" i="1"/>
  <c r="N8" i="1" s="1"/>
  <c r="U8" i="1" s="1"/>
  <c r="K9" i="1" s="1"/>
  <c r="Z9" i="1" l="1"/>
  <c r="V8" i="1"/>
  <c r="J9" i="1"/>
  <c r="Z10" i="1"/>
  <c r="Y11" i="1"/>
  <c r="T9" i="1" l="1"/>
  <c r="L9" i="1"/>
  <c r="N9" i="1" s="1"/>
  <c r="U9" i="1" s="1"/>
  <c r="K10" i="1" s="1"/>
  <c r="Y12" i="1"/>
  <c r="Z12" i="1" s="1"/>
  <c r="Z11" i="1"/>
  <c r="V9" i="1" l="1"/>
  <c r="J10" i="1"/>
  <c r="T10" i="1" l="1"/>
  <c r="L10" i="1"/>
  <c r="N10" i="1" s="1"/>
  <c r="U10" i="1" s="1"/>
  <c r="K11" i="1" s="1"/>
  <c r="V10" i="1" l="1"/>
  <c r="J11" i="1"/>
  <c r="T11" i="1" l="1"/>
  <c r="L11" i="1"/>
  <c r="N11" i="1" s="1"/>
  <c r="U11" i="1" s="1"/>
  <c r="K12" i="1" s="1"/>
  <c r="J12" i="1" l="1"/>
  <c r="V11" i="1"/>
  <c r="T12" i="1" l="1"/>
  <c r="L12" i="1"/>
  <c r="N12" i="1" s="1"/>
  <c r="U12" i="1" s="1"/>
  <c r="V12" i="1" l="1"/>
</calcChain>
</file>

<file path=xl/sharedStrings.xml><?xml version="1.0" encoding="utf-8"?>
<sst xmlns="http://schemas.openxmlformats.org/spreadsheetml/2006/main" count="56" uniqueCount="37">
  <si>
    <t>Ağırlıklı Ortalama Maliyet</t>
  </si>
  <si>
    <t>Hesaplamalarda ortak kullanılan alanlar</t>
  </si>
  <si>
    <t>Ağırlıklı Ortalama Hesabı</t>
  </si>
  <si>
    <t>Fifo Hesabı</t>
  </si>
  <si>
    <t>Son Fiyat</t>
  </si>
  <si>
    <t>HareketID</t>
  </si>
  <si>
    <t>MalzemeID</t>
  </si>
  <si>
    <t>Malzeme</t>
  </si>
  <si>
    <t>TarihSaat</t>
  </si>
  <si>
    <t>HareketTipi</t>
  </si>
  <si>
    <t>Miktar</t>
  </si>
  <si>
    <t>AlışBirimFiyat</t>
  </si>
  <si>
    <t>GirişMiktar</t>
  </si>
  <si>
    <t>ÇıkışMiktar</t>
  </si>
  <si>
    <t>ÖncekiStokMiktarı</t>
  </si>
  <si>
    <t>ÖncekiStokTutarı</t>
  </si>
  <si>
    <t>ÖncekiBirimMaliyet</t>
  </si>
  <si>
    <t>GirişTutarı</t>
  </si>
  <si>
    <t>ÇıkışMaliyeti</t>
  </si>
  <si>
    <t>Küm.GirişÖncesi</t>
  </si>
  <si>
    <t>Küm.GirişSonrası</t>
  </si>
  <si>
    <t>Küm.ÇıkışÖncesi</t>
  </si>
  <si>
    <t>Küm.ÇıkışSonrası</t>
  </si>
  <si>
    <t>ÖncekiSonAlış</t>
  </si>
  <si>
    <t>StokMiktarı</t>
  </si>
  <si>
    <t>StokTutarı</t>
  </si>
  <si>
    <t>AnlıkBirimMaliyet</t>
  </si>
  <si>
    <t>FIFOÇıkışMaliyeti</t>
  </si>
  <si>
    <t>FIFOStokTutarı</t>
  </si>
  <si>
    <t>FIFOStokBirimMaliyeti</t>
  </si>
  <si>
    <t>SonAlışBirimMaliyet</t>
  </si>
  <si>
    <t>TeorikStokDeğeri</t>
  </si>
  <si>
    <t>ET001</t>
  </si>
  <si>
    <t>Dana eti</t>
  </si>
  <si>
    <t>Alış</t>
  </si>
  <si>
    <t>Tüketim</t>
  </si>
  <si>
    <t>Fire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</si>
</sst>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\-mm\-dd\ hh:mm"/>
    <numFmt numFmtId="166" formatCode="#,##0.000"/>
    <numFmt numFmtId="167" formatCode="#,##0.00\ &quot;TL&quot;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2"/>
  <sheetViews>
    <sheetView tabSelected="1" topLeftCell="H1" workbookViewId="0">
      <selection activeCell="W6" sqref="W6:Z12"/>
    </sheetView>
  </sheetViews>
  <sheetFormatPr defaultRowHeight="15" x14ac:dyDescent="0.25"/>
  <cols>
    <col min="11" max="11" width="14.875" bestFit="1" customWidth="1"/>
  </cols>
  <sheetData>
    <row r="1" spans="1:30" ht="15.75" x14ac:dyDescent="0.25">
      <c r="A1" t="s">
        <v>0</v>
      </c>
    </row>
    <row r="3" spans="1:30" ht="15.75" x14ac:dyDescent="0.25">
      <c r="A3" s="4" t="s">
        <v>1</v>
      </c>
      <c r="B3" s="4"/>
      <c r="C3" s="4"/>
      <c r="D3" s="4"/>
      <c r="E3" s="4"/>
      <c r="F3" s="4"/>
      <c r="G3" s="4"/>
      <c r="H3" s="4"/>
      <c r="I3" s="4"/>
      <c r="J3" s="4" t="s">
        <v>2</v>
      </c>
      <c r="K3" s="4"/>
      <c r="L3" s="4"/>
      <c r="M3" s="4"/>
      <c r="N3" s="4"/>
      <c r="O3" s="4" t="s">
        <v>3</v>
      </c>
      <c r="P3" s="4"/>
      <c r="Q3" s="4"/>
      <c r="R3" s="4"/>
      <c r="S3" t="s">
        <v>4</v>
      </c>
      <c r="W3" s="4"/>
      <c r="X3" s="4"/>
      <c r="Y3" s="4"/>
      <c r="Z3" s="4"/>
    </row>
    <row r="5" spans="1:30" ht="15.75" x14ac:dyDescent="0.25">
      <c r="A5" t="s">
        <v>5</v>
      </c>
      <c r="B5" t="s">
        <v>6</v>
      </c>
      <c r="C5" t="s">
        <v>7</v>
      </c>
      <c r="D5" t="s">
        <v>8</v>
      </c>
      <c r="E5" t="s">
        <v>9</v>
      </c>
      <c r="F5" t="s">
        <v>10</v>
      </c>
      <c r="G5" t="s">
        <v>11</v>
      </c>
      <c r="H5" t="s">
        <v>12</v>
      </c>
      <c r="I5" t="s">
        <v>13</v>
      </c>
      <c r="J5" t="s">
        <v>14</v>
      </c>
      <c r="K5" t="s">
        <v>15</v>
      </c>
      <c r="L5" t="s">
        <v>16</v>
      </c>
      <c r="M5" t="s">
        <v>17</v>
      </c>
      <c r="N5" t="s">
        <v>18</v>
      </c>
      <c r="O5" t="s">
        <v>19</v>
      </c>
      <c r="P5" t="s">
        <v>20</v>
      </c>
      <c r="Q5" t="s">
        <v>21</v>
      </c>
      <c r="R5" t="s">
        <v>22</v>
      </c>
      <c r="S5" t="s">
        <v>23</v>
      </c>
      <c r="T5" t="s">
        <v>24</v>
      </c>
      <c r="U5" t="s">
        <v>25</v>
      </c>
      <c r="V5" t="s">
        <v>26</v>
      </c>
      <c r="W5" t="s">
        <v>27</v>
      </c>
      <c r="X5" t="s">
        <v>24</v>
      </c>
      <c r="Y5" t="s">
        <v>28</v>
      </c>
      <c r="Z5" t="s">
        <v>29</v>
      </c>
      <c r="AA5" t="s">
        <v>30</v>
      </c>
      <c r="AB5" t="s">
        <v>18</v>
      </c>
      <c r="AC5" t="s">
        <v>24</v>
      </c>
      <c r="AD5" t="s">
        <v>31</v>
      </c>
    </row>
    <row r="6" spans="1:30" ht="15.75" x14ac:dyDescent="0.25">
      <c r="A6">
        <v>1</v>
      </c>
      <c r="B6" t="s">
        <v>32</v>
      </c>
      <c r="C6" t="s">
        <v>33</v>
      </c>
      <c r="D6" s="1">
        <v>46023.333333333343</v>
      </c>
      <c r="E6" t="s">
        <v>34</v>
      </c>
      <c r="F6" s="2">
        <v>10</v>
      </c>
      <c r="G6" s="3">
        <v>400</v>
      </c>
      <c r="H6" s="2">
        <f t="shared" ref="H6:H12" si="0">IF($E6="Alış",$F6,0)</f>
        <v>10</v>
      </c>
      <c r="I6" s="2">
        <f t="shared" ref="I6:I12" si="1">IF($E6&lt;&gt;"Alış",$F6,0)</f>
        <v>0</v>
      </c>
      <c r="J6" s="2">
        <f t="shared" ref="J6:J12" si="2">IF($B6=$B5,$T5,0)</f>
        <v>0</v>
      </c>
      <c r="K6" s="3">
        <f t="shared" ref="K6:K12" si="3">IF($B6=$B5,$U5,0)</f>
        <v>0</v>
      </c>
      <c r="L6" s="3">
        <f t="shared" ref="L6:L12" si="4">IF($J6=0,0,$K6/$J6)</f>
        <v>0</v>
      </c>
      <c r="M6" s="3">
        <f t="shared" ref="M6:M12" si="5">$H6*$G6</f>
        <v>4000</v>
      </c>
      <c r="N6" s="3">
        <f t="shared" ref="N6:N12" si="6">$I6*$L6</f>
        <v>0</v>
      </c>
      <c r="O6" s="2">
        <f t="shared" ref="O6:O12" si="7">IF($B6=$B5,$P5,0)</f>
        <v>0</v>
      </c>
      <c r="P6" s="2">
        <f t="shared" ref="P6:P12" si="8">$O6+$H6</f>
        <v>10</v>
      </c>
      <c r="Q6" s="2">
        <f t="shared" ref="Q6:Q12" si="9">IF($B6=$B5,$R5,0)</f>
        <v>0</v>
      </c>
      <c r="R6" s="2">
        <f t="shared" ref="R6:R12" si="10">$Q6+$I6</f>
        <v>0</v>
      </c>
      <c r="S6" s="3">
        <f t="shared" ref="S6:S12" si="11">IF($B6=$B5,$AA5,0)</f>
        <v>0</v>
      </c>
      <c r="T6" s="2">
        <f t="shared" ref="T6:T12" si="12">$J6+$H6-$I6</f>
        <v>10</v>
      </c>
      <c r="U6" s="3">
        <f t="shared" ref="U6:U12" si="13">$K6+$M6-$N6</f>
        <v>4000</v>
      </c>
      <c r="V6" s="3">
        <f t="shared" ref="V6:V12" si="14">IF($T6=0,0,$U6/$T6)</f>
        <v>400</v>
      </c>
      <c r="W6">
        <f>IF($I6=0,0,SUMPRODUCT(($B$6:$B6=$B6)*($H$6:$H6&gt;0)*$G$6:$G6*((($P$6:$P6&lt;$R6)*$P$6:$P6+($P$6:$P6&gt;=$R6)*$R6)-(($O$6:$O6&gt;$Q6)*$O$6:$O6+($O$6:$O6&lt;=$Q6)*$Q6))*--(((($P$6:$P6&lt;$R6)*$P$6:$P6+($P$6:$P6&gt;=$R6)*$R6)-(($O$6:$O6&gt;$Q6)*$O$6:$O6+($O$6:$O6&lt;=$Q6)*$Q6))&gt;0)))</f>
        <v>0</v>
      </c>
      <c r="X6" s="3">
        <f t="shared" ref="X6:X12" si="15">IF($B6=$B5,$X5,0)+$H6-$I6</f>
        <v>10</v>
      </c>
      <c r="Y6">
        <f t="shared" ref="Y6:Y12" si="16">IF($B6=$B5,$Y5,0)+$H6*$G6-$W6</f>
        <v>4000</v>
      </c>
      <c r="Z6">
        <f t="shared" ref="Z6:Z12" si="17">IF($X6=0,0,$Y6/$X6)</f>
        <v>400</v>
      </c>
      <c r="AA6" s="3">
        <f t="shared" ref="AA6:AA12" si="18">IF($E6="Alış",$G6,$S6)</f>
        <v>400</v>
      </c>
      <c r="AB6" s="3">
        <f t="shared" ref="AB6:AB12" si="19">$I6*$AA6</f>
        <v>0</v>
      </c>
      <c r="AC6">
        <f t="shared" ref="AC6:AC12" si="20">IF($B6=$B5,$X5,0)+$H6-$I6</f>
        <v>10</v>
      </c>
      <c r="AD6" s="3">
        <f t="shared" ref="AD6:AD12" si="21">$AC6*$AA6</f>
        <v>4000</v>
      </c>
    </row>
    <row r="7" spans="1:30" ht="15.75" x14ac:dyDescent="0.25">
      <c r="A7">
        <v>2</v>
      </c>
      <c r="B7" t="s">
        <v>32</v>
      </c>
      <c r="C7" t="s">
        <v>33</v>
      </c>
      <c r="D7" s="1">
        <v>46023.770833333343</v>
      </c>
      <c r="E7" t="s">
        <v>35</v>
      </c>
      <c r="F7" s="2">
        <v>3</v>
      </c>
      <c r="H7" s="2">
        <f t="shared" si="0"/>
        <v>0</v>
      </c>
      <c r="I7" s="2">
        <f t="shared" si="1"/>
        <v>3</v>
      </c>
      <c r="J7" s="2">
        <f t="shared" si="2"/>
        <v>10</v>
      </c>
      <c r="K7" s="3">
        <f t="shared" si="3"/>
        <v>4000</v>
      </c>
      <c r="L7" s="3">
        <f t="shared" si="4"/>
        <v>400</v>
      </c>
      <c r="M7" s="3">
        <f t="shared" si="5"/>
        <v>0</v>
      </c>
      <c r="N7" s="3">
        <f t="shared" si="6"/>
        <v>1200</v>
      </c>
      <c r="O7" s="2">
        <f t="shared" si="7"/>
        <v>10</v>
      </c>
      <c r="P7" s="2">
        <f t="shared" si="8"/>
        <v>10</v>
      </c>
      <c r="Q7" s="2">
        <f t="shared" si="9"/>
        <v>0</v>
      </c>
      <c r="R7" s="2">
        <f t="shared" si="10"/>
        <v>3</v>
      </c>
      <c r="S7" s="3">
        <f t="shared" si="11"/>
        <v>400</v>
      </c>
      <c r="T7" s="2">
        <f t="shared" si="12"/>
        <v>7</v>
      </c>
      <c r="U7" s="3">
        <f t="shared" si="13"/>
        <v>2800</v>
      </c>
      <c r="V7" s="3">
        <f t="shared" si="14"/>
        <v>400</v>
      </c>
      <c r="W7">
        <f>IF($I7=0,0,SUMPRODUCT(($B$6:$B7=$B7)*($H$6:$H7&gt;0)*$G$6:$G7*((($P$6:$P7&lt;$R7)*$P$6:$P7+($P$6:$P7&gt;=$R7)*$R7)-(($O$6:$O7&gt;$Q7)*$O$6:$O7+($O$6:$O7&lt;=$Q7)*$Q7))*--(((($P$6:$P7&lt;$R7)*$P$6:$P7+($P$6:$P7&gt;=$R7)*$R7)-(($O$6:$O7&gt;$Q7)*$O$6:$O7+($O$6:$O7&lt;=$Q7)*$Q7))&gt;0)))</f>
        <v>1200</v>
      </c>
      <c r="X7" s="3">
        <f t="shared" si="15"/>
        <v>7</v>
      </c>
      <c r="Y7">
        <f t="shared" si="16"/>
        <v>2800</v>
      </c>
      <c r="Z7">
        <f t="shared" si="17"/>
        <v>400</v>
      </c>
      <c r="AA7" s="3">
        <f t="shared" si="18"/>
        <v>400</v>
      </c>
      <c r="AB7" s="3">
        <f t="shared" si="19"/>
        <v>1200</v>
      </c>
      <c r="AC7">
        <f t="shared" si="20"/>
        <v>7</v>
      </c>
      <c r="AD7" s="3">
        <f t="shared" si="21"/>
        <v>2800</v>
      </c>
    </row>
    <row r="8" spans="1:30" ht="15.75" x14ac:dyDescent="0.25">
      <c r="A8">
        <v>3</v>
      </c>
      <c r="B8" t="s">
        <v>32</v>
      </c>
      <c r="C8" t="s">
        <v>33</v>
      </c>
      <c r="D8" s="1">
        <v>46024.385416666657</v>
      </c>
      <c r="E8" t="s">
        <v>34</v>
      </c>
      <c r="F8" s="2">
        <v>20</v>
      </c>
      <c r="G8" s="3">
        <v>460</v>
      </c>
      <c r="H8" s="2">
        <f t="shared" si="0"/>
        <v>20</v>
      </c>
      <c r="I8" s="2">
        <f t="shared" si="1"/>
        <v>0</v>
      </c>
      <c r="J8" s="2">
        <f t="shared" si="2"/>
        <v>7</v>
      </c>
      <c r="K8" s="3">
        <f t="shared" si="3"/>
        <v>2800</v>
      </c>
      <c r="L8" s="3">
        <f t="shared" si="4"/>
        <v>400</v>
      </c>
      <c r="M8" s="3">
        <f t="shared" si="5"/>
        <v>9200</v>
      </c>
      <c r="N8" s="3">
        <f t="shared" si="6"/>
        <v>0</v>
      </c>
      <c r="O8" s="2">
        <f t="shared" si="7"/>
        <v>10</v>
      </c>
      <c r="P8" s="2">
        <f t="shared" si="8"/>
        <v>30</v>
      </c>
      <c r="Q8" s="2">
        <f t="shared" si="9"/>
        <v>3</v>
      </c>
      <c r="R8" s="2">
        <f t="shared" si="10"/>
        <v>3</v>
      </c>
      <c r="S8" s="3">
        <f t="shared" si="11"/>
        <v>400</v>
      </c>
      <c r="T8" s="2">
        <f t="shared" si="12"/>
        <v>27</v>
      </c>
      <c r="U8" s="3">
        <f t="shared" si="13"/>
        <v>12000</v>
      </c>
      <c r="V8" s="3">
        <f t="shared" si="14"/>
        <v>444.44444444444446</v>
      </c>
      <c r="W8">
        <f>IF($I8=0,0,SUMPRODUCT(($B$6:$B8=$B8)*($H$6:$H8&gt;0)*$G$6:$G8*((($P$6:$P8&lt;$R8)*$P$6:$P8+($P$6:$P8&gt;=$R8)*$R8)-(($O$6:$O8&gt;$Q8)*$O$6:$O8+($O$6:$O8&lt;=$Q8)*$Q8))*--(((($P$6:$P8&lt;$R8)*$P$6:$P8+($P$6:$P8&gt;=$R8)*$R8)-(($O$6:$O8&gt;$Q8)*$O$6:$O8+($O$6:$O8&lt;=$Q8)*$Q8))&gt;0)))</f>
        <v>0</v>
      </c>
      <c r="X8" s="3">
        <f t="shared" si="15"/>
        <v>27</v>
      </c>
      <c r="Y8">
        <f t="shared" si="16"/>
        <v>12000</v>
      </c>
      <c r="Z8">
        <f t="shared" si="17"/>
        <v>444.44444444444446</v>
      </c>
      <c r="AA8" s="3">
        <f t="shared" si="18"/>
        <v>460</v>
      </c>
      <c r="AB8" s="3">
        <f t="shared" si="19"/>
        <v>0</v>
      </c>
      <c r="AC8">
        <f t="shared" si="20"/>
        <v>27</v>
      </c>
      <c r="AD8" s="3">
        <f t="shared" si="21"/>
        <v>12420</v>
      </c>
    </row>
    <row r="9" spans="1:30" ht="15.75" x14ac:dyDescent="0.25">
      <c r="A9">
        <v>4</v>
      </c>
      <c r="B9" t="s">
        <v>32</v>
      </c>
      <c r="C9" t="s">
        <v>33</v>
      </c>
      <c r="D9" s="1">
        <v>46024.791666666657</v>
      </c>
      <c r="E9" t="s">
        <v>35</v>
      </c>
      <c r="F9" s="2">
        <v>12</v>
      </c>
      <c r="H9" s="2">
        <f t="shared" si="0"/>
        <v>0</v>
      </c>
      <c r="I9" s="2">
        <f t="shared" si="1"/>
        <v>12</v>
      </c>
      <c r="J9" s="2">
        <f t="shared" si="2"/>
        <v>27</v>
      </c>
      <c r="K9" s="3">
        <f t="shared" si="3"/>
        <v>12000</v>
      </c>
      <c r="L9" s="3">
        <f t="shared" si="4"/>
        <v>444.44444444444446</v>
      </c>
      <c r="M9" s="3">
        <f t="shared" si="5"/>
        <v>0</v>
      </c>
      <c r="N9" s="3">
        <f t="shared" si="6"/>
        <v>5333.3333333333339</v>
      </c>
      <c r="O9" s="2">
        <f t="shared" si="7"/>
        <v>30</v>
      </c>
      <c r="P9" s="2">
        <f t="shared" si="8"/>
        <v>30</v>
      </c>
      <c r="Q9" s="2">
        <f t="shared" si="9"/>
        <v>3</v>
      </c>
      <c r="R9" s="2">
        <f t="shared" si="10"/>
        <v>15</v>
      </c>
      <c r="S9" s="3">
        <f t="shared" si="11"/>
        <v>460</v>
      </c>
      <c r="T9" s="2">
        <f t="shared" si="12"/>
        <v>15</v>
      </c>
      <c r="U9" s="3">
        <f t="shared" si="13"/>
        <v>6666.6666666666661</v>
      </c>
      <c r="V9" s="3">
        <f t="shared" si="14"/>
        <v>444.4444444444444</v>
      </c>
      <c r="W9">
        <f>IF($I9=0,0,SUMPRODUCT(($B$6:$B9=$B9)*($H$6:$H9&gt;0)*$G$6:$G9*((($P$6:$P9&lt;$R9)*$P$6:$P9+($P$6:$P9&gt;=$R9)*$R9)-(($O$6:$O9&gt;$Q9)*$O$6:$O9+($O$6:$O9&lt;=$Q9)*$Q9))*--(((($P$6:$P9&lt;$R9)*$P$6:$P9+($P$6:$P9&gt;=$R9)*$R9)-(($O$6:$O9&gt;$Q9)*$O$6:$O9+($O$6:$O9&lt;=$Q9)*$Q9))&gt;0)))</f>
        <v>5100</v>
      </c>
      <c r="X9" s="3">
        <f t="shared" si="15"/>
        <v>15</v>
      </c>
      <c r="Y9">
        <f t="shared" si="16"/>
        <v>6900</v>
      </c>
      <c r="Z9">
        <f t="shared" si="17"/>
        <v>460</v>
      </c>
      <c r="AA9" s="3">
        <f t="shared" si="18"/>
        <v>460</v>
      </c>
      <c r="AB9" s="3">
        <f t="shared" si="19"/>
        <v>5520</v>
      </c>
      <c r="AC9">
        <f t="shared" si="20"/>
        <v>15</v>
      </c>
      <c r="AD9" s="3">
        <f t="shared" si="21"/>
        <v>6900</v>
      </c>
    </row>
    <row r="10" spans="1:30" ht="15.75" x14ac:dyDescent="0.25">
      <c r="A10">
        <v>5</v>
      </c>
      <c r="B10" t="s">
        <v>32</v>
      </c>
      <c r="C10" t="s">
        <v>33</v>
      </c>
      <c r="D10" s="1">
        <v>46025.388888888891</v>
      </c>
      <c r="E10" t="s">
        <v>34</v>
      </c>
      <c r="F10" s="2">
        <v>15</v>
      </c>
      <c r="G10" s="3">
        <v>500</v>
      </c>
      <c r="H10" s="2">
        <f t="shared" si="0"/>
        <v>15</v>
      </c>
      <c r="I10" s="2">
        <f t="shared" si="1"/>
        <v>0</v>
      </c>
      <c r="J10" s="2">
        <f t="shared" si="2"/>
        <v>15</v>
      </c>
      <c r="K10" s="3">
        <f t="shared" si="3"/>
        <v>6666.6666666666661</v>
      </c>
      <c r="L10" s="3">
        <f t="shared" si="4"/>
        <v>444.4444444444444</v>
      </c>
      <c r="M10" s="3">
        <f t="shared" si="5"/>
        <v>7500</v>
      </c>
      <c r="N10" s="3">
        <f t="shared" si="6"/>
        <v>0</v>
      </c>
      <c r="O10" s="2">
        <f t="shared" si="7"/>
        <v>30</v>
      </c>
      <c r="P10" s="2">
        <f t="shared" si="8"/>
        <v>45</v>
      </c>
      <c r="Q10" s="2">
        <f t="shared" si="9"/>
        <v>15</v>
      </c>
      <c r="R10" s="2">
        <f t="shared" si="10"/>
        <v>15</v>
      </c>
      <c r="S10" s="3">
        <f t="shared" si="11"/>
        <v>460</v>
      </c>
      <c r="T10" s="2">
        <f t="shared" si="12"/>
        <v>30</v>
      </c>
      <c r="U10" s="3">
        <f t="shared" si="13"/>
        <v>14166.666666666666</v>
      </c>
      <c r="V10" s="3">
        <f t="shared" si="14"/>
        <v>472.22222222222223</v>
      </c>
      <c r="W10">
        <f>IF($I10=0,0,SUMPRODUCT(($B$6:$B10=$B10)*($H$6:$H10&gt;0)*$G$6:$G10*((($P$6:$P10&lt;$R10)*$P$6:$P10+($P$6:$P10&gt;=$R10)*$R10)-(($O$6:$O10&gt;$Q10)*$O$6:$O10+($O$6:$O10&lt;=$Q10)*$Q10))*--(((($P$6:$P10&lt;$R10)*$P$6:$P10+($P$6:$P10&gt;=$R10)*$R10)-(($O$6:$O10&gt;$Q10)*$O$6:$O10+($O$6:$O10&lt;=$Q10)*$Q10))&gt;0)))</f>
        <v>0</v>
      </c>
      <c r="X10" s="3">
        <f t="shared" si="15"/>
        <v>30</v>
      </c>
      <c r="Y10">
        <f t="shared" si="16"/>
        <v>14400</v>
      </c>
      <c r="Z10">
        <f t="shared" si="17"/>
        <v>480</v>
      </c>
      <c r="AA10" s="3">
        <f t="shared" si="18"/>
        <v>500</v>
      </c>
      <c r="AB10" s="3">
        <f t="shared" si="19"/>
        <v>0</v>
      </c>
      <c r="AC10">
        <f t="shared" si="20"/>
        <v>30</v>
      </c>
      <c r="AD10" s="3">
        <f t="shared" si="21"/>
        <v>15000</v>
      </c>
    </row>
    <row r="11" spans="1:30" ht="15.75" x14ac:dyDescent="0.25">
      <c r="A11">
        <v>6</v>
      </c>
      <c r="B11" t="s">
        <v>32</v>
      </c>
      <c r="C11" t="s">
        <v>33</v>
      </c>
      <c r="D11" s="1">
        <v>46025.881944444453</v>
      </c>
      <c r="E11" t="s">
        <v>35</v>
      </c>
      <c r="F11" s="2">
        <v>18</v>
      </c>
      <c r="H11" s="2">
        <f t="shared" si="0"/>
        <v>0</v>
      </c>
      <c r="I11" s="2">
        <f t="shared" si="1"/>
        <v>18</v>
      </c>
      <c r="J11" s="2">
        <f t="shared" si="2"/>
        <v>30</v>
      </c>
      <c r="K11" s="3">
        <f t="shared" si="3"/>
        <v>14166.666666666666</v>
      </c>
      <c r="L11" s="3">
        <f t="shared" si="4"/>
        <v>472.22222222222223</v>
      </c>
      <c r="M11" s="3">
        <f t="shared" si="5"/>
        <v>0</v>
      </c>
      <c r="N11" s="3">
        <f t="shared" si="6"/>
        <v>8500</v>
      </c>
      <c r="O11" s="2">
        <f t="shared" si="7"/>
        <v>45</v>
      </c>
      <c r="P11" s="2">
        <f t="shared" si="8"/>
        <v>45</v>
      </c>
      <c r="Q11" s="2">
        <f t="shared" si="9"/>
        <v>15</v>
      </c>
      <c r="R11" s="2">
        <f t="shared" si="10"/>
        <v>33</v>
      </c>
      <c r="S11" s="3">
        <f t="shared" si="11"/>
        <v>500</v>
      </c>
      <c r="T11" s="2">
        <f t="shared" si="12"/>
        <v>12</v>
      </c>
      <c r="U11" s="3">
        <f t="shared" si="13"/>
        <v>5666.6666666666661</v>
      </c>
      <c r="V11" s="3">
        <f t="shared" si="14"/>
        <v>472.22222222222217</v>
      </c>
      <c r="W11">
        <f>IF($I11=0,0,SUMPRODUCT(($B$6:$B11=$B11)*($H$6:$H11&gt;0)*$G$6:$G11*((($P$6:$P11&lt;$R11)*$P$6:$P11+($P$6:$P11&gt;=$R11)*$R11)-(($O$6:$O11&gt;$Q11)*$O$6:$O11+($O$6:$O11&lt;=$Q11)*$Q11))*--(((($P$6:$P11&lt;$R11)*$P$6:$P11+($P$6:$P11&gt;=$R11)*$R11)-(($O$6:$O11&gt;$Q11)*$O$6:$O11+($O$6:$O11&lt;=$Q11)*$Q11))&gt;0)))</f>
        <v>8400</v>
      </c>
      <c r="X11" s="3">
        <f t="shared" si="15"/>
        <v>12</v>
      </c>
      <c r="Y11">
        <f t="shared" si="16"/>
        <v>6000</v>
      </c>
      <c r="Z11">
        <f t="shared" si="17"/>
        <v>500</v>
      </c>
      <c r="AA11" s="3">
        <f t="shared" si="18"/>
        <v>500</v>
      </c>
      <c r="AB11" s="3">
        <f t="shared" si="19"/>
        <v>9000</v>
      </c>
      <c r="AC11">
        <f t="shared" si="20"/>
        <v>12</v>
      </c>
      <c r="AD11" s="3">
        <f t="shared" si="21"/>
        <v>6000</v>
      </c>
    </row>
    <row r="12" spans="1:30" ht="15.75" x14ac:dyDescent="0.25">
      <c r="A12">
        <v>7</v>
      </c>
      <c r="B12" t="s">
        <v>32</v>
      </c>
      <c r="C12" t="s">
        <v>33</v>
      </c>
      <c r="D12" s="1">
        <v>46026.458333333343</v>
      </c>
      <c r="E12" t="s">
        <v>36</v>
      </c>
      <c r="F12" s="2">
        <v>1</v>
      </c>
      <c r="H12" s="2">
        <f t="shared" si="0"/>
        <v>0</v>
      </c>
      <c r="I12" s="2">
        <f t="shared" si="1"/>
        <v>1</v>
      </c>
      <c r="J12" s="2">
        <f t="shared" si="2"/>
        <v>12</v>
      </c>
      <c r="K12" s="3">
        <f t="shared" si="3"/>
        <v>5666.6666666666661</v>
      </c>
      <c r="L12" s="3">
        <f t="shared" si="4"/>
        <v>472.22222222222217</v>
      </c>
      <c r="M12" s="3">
        <f t="shared" si="5"/>
        <v>0</v>
      </c>
      <c r="N12" s="3">
        <f t="shared" si="6"/>
        <v>472.22222222222217</v>
      </c>
      <c r="O12" s="2">
        <f t="shared" si="7"/>
        <v>45</v>
      </c>
      <c r="P12" s="2">
        <f t="shared" si="8"/>
        <v>45</v>
      </c>
      <c r="Q12" s="2">
        <f t="shared" si="9"/>
        <v>33</v>
      </c>
      <c r="R12" s="2">
        <f t="shared" si="10"/>
        <v>34</v>
      </c>
      <c r="S12" s="3">
        <f t="shared" si="11"/>
        <v>500</v>
      </c>
      <c r="T12" s="2">
        <f t="shared" si="12"/>
        <v>11</v>
      </c>
      <c r="U12" s="3">
        <f t="shared" si="13"/>
        <v>5194.4444444444434</v>
      </c>
      <c r="V12" s="3">
        <f t="shared" si="14"/>
        <v>472.22222222222211</v>
      </c>
      <c r="W12">
        <f>IF($I12=0,0,SUMPRODUCT(($B$6:$B12=$B12)*($H$6:$H12&gt;0)*$G$6:$G12*((($P$6:$P12&lt;$R12)*$P$6:$P12+($P$6:$P12&gt;=$R12)*$R12)-(($O$6:$O12&gt;$Q12)*$O$6:$O12+($O$6:$O12&lt;=$Q12)*$Q12))*--(((($P$6:$P12&lt;$R12)*$P$6:$P12+($P$6:$P12&gt;=$R12)*$R12)-(($O$6:$O12&gt;$Q12)*$O$6:$O12+($O$6:$O12&lt;=$Q12)*$Q12))&gt;0)))</f>
        <v>500</v>
      </c>
      <c r="X12" s="3">
        <f t="shared" si="15"/>
        <v>11</v>
      </c>
      <c r="Y12">
        <f t="shared" si="16"/>
        <v>5500</v>
      </c>
      <c r="Z12">
        <f t="shared" si="17"/>
        <v>500</v>
      </c>
      <c r="AA12" s="3">
        <f t="shared" si="18"/>
        <v>500</v>
      </c>
      <c r="AB12" s="3">
        <f t="shared" si="19"/>
        <v>500</v>
      </c>
      <c r="AC12">
        <f t="shared" si="20"/>
        <v>11</v>
      </c>
      <c r="AD12" s="3">
        <f t="shared" si="21"/>
        <v>5500</v>
      </c>
    </row>
  </sheetData>
  <mergeCells count="4">
    <mergeCell ref="A3:I3"/>
    <mergeCell ref="J3:N3"/>
    <mergeCell ref="O3:R3"/>
    <mergeCell ref="W3:Z3"/>
  </mergeCells>
  <pageMargins left="0.75" right="0.75" top="1" bottom="1" header="0.5" footer="0.5"/>
  <ignoredErrors>
    <ignoredError sqref="A1:AD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muzo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Muzaffer Seyranlı</dc:creator>
  <cp:lastModifiedBy>Muzaffer Seyranlı</cp:lastModifiedBy>
  <dcterms:created xsi:type="dcterms:W3CDTF">2026-06-11T16:09:00Z</dcterms:created>
  <dcterms:modified xsi:type="dcterms:W3CDTF">2026-06-11T16:56:04Z</dcterms:modified>
</cp:coreProperties>
</file>