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Ozet" sheetId="1" state="visible" r:id="rId1"/>
    <sheet name="01_Ham_Veri" sheetId="2" state="visible" r:id="rId2"/>
    <sheet name="02_Agirlikli_Ortalama" sheetId="3" state="visible" r:id="rId3"/>
    <sheet name="03_FIFO" sheetId="4" state="visible" r:id="rId4"/>
    <sheet name="04_Son_Alis" sheetId="5" state="visible" r:id="rId5"/>
    <sheet name="05_Buyuk_Data_Rehberi" sheetId="6" state="visible" r:id="rId6"/>
    <sheet name="06_Recete_Maliyeti" sheetId="7" state="visible" r:id="rId7"/>
  </sheets>
  <definedNames>
    <definedName name="_xlnm._FilterDatabase" localSheetId="2" hidden="1">'02_Agirlikli_Ortalama'!$A$5:$R$19</definedName>
    <definedName name="_xlnm._FilterDatabase" localSheetId="3" hidden="1">'03_FIFO'!$A$5:$R$19</definedName>
    <definedName name="_xlnm._FilterDatabase" localSheetId="4" hidden="1">'04_Son_Alis'!$A$5:$O$19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#,##0.000"/>
    <numFmt numFmtId="167" formatCode="#,##0.00 &quot;TL&quot;"/>
  </numFmts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color rgb="00666666"/>
      <sz val="10"/>
    </font>
    <font>
      <b val="1"/>
      <color rgb="000F766E"/>
      <sz val="12"/>
    </font>
    <font>
      <b val="1"/>
      <color rgb="00FFFFFF"/>
    </font>
    <font>
      <b val="1"/>
      <color rgb="001F1F1F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F766E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4" fillId="3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167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6" fillId="0" borderId="0" pivotButton="0" quotePrefix="0" xfId="0"/>
    <xf numFmtId="166" fontId="0" fillId="5" borderId="2" applyAlignment="1" pivotButton="0" quotePrefix="0" xfId="0">
      <alignment vertical="top" wrapText="1"/>
    </xf>
    <xf numFmtId="167" fontId="0" fillId="5" borderId="2" applyAlignment="1" pivotButton="0" quotePrefix="0" xfId="0">
      <alignment vertical="top" wrapText="1"/>
    </xf>
    <xf numFmtId="166" fontId="0" fillId="6" borderId="2" applyAlignment="1" pivotButton="0" quotePrefix="0" xfId="0">
      <alignment vertical="top" wrapText="1"/>
    </xf>
    <xf numFmtId="167" fontId="0" fillId="6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N6" authorId="0" shapeId="0">
      <text>
        <t>Bu örnek formül FIFO mantığını Excel içinde gösterir. Çok büyük veride aynı mantık SQL, Power Query ya da uygulama servisinde açık lot kuyruğu ile daha verimli çalışır.</t>
      </text>
    </comment>
  </commentList>
</comments>
</file>

<file path=xl/tables/table1.xml><?xml version="1.0" encoding="utf-8"?>
<table xmlns="http://schemas.openxmlformats.org/spreadsheetml/2006/main" id="1" name="tblOzet" displayName="tblOzet" ref="A9:E12" headerRowCount="1">
  <autoFilter ref="A9:E12"/>
  <tableColumns count="5">
    <tableColumn id="1" name="Yöntem"/>
    <tableColumn id="2" name="Ana mantık"/>
    <tableColumn id="3" name="Formül özeti"/>
    <tableColumn id="4" name="Büyük veride uygulama"/>
    <tableColumn id="5" name="Restoran yorum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HamVeri" displayName="tblHamVeri" ref="A5:J19" headerRowCount="1">
  <autoFilter ref="A5:J19"/>
  <tableColumns count="10">
    <tableColumn id="1" name="HareketID"/>
    <tableColumn id="2" name="TarihSaat"/>
    <tableColumn id="3" name="MalzemeID"/>
    <tableColumn id="4" name="Malzeme"/>
    <tableColumn id="5" name="Birim"/>
    <tableColumn id="6" name="HareketTipi"/>
    <tableColumn id="7" name="Miktar"/>
    <tableColumn id="8" name="AlışBirimFiyat"/>
    <tableColumn id="9" name="BelgeNo"/>
    <tableColumn id="10" name="No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WAC" displayName="tblWAC" ref="A5:R19" headerRowCount="1">
  <autoFilter ref="A5:R19"/>
  <tableColumns count="18">
    <tableColumn id="1" name="HareketID"/>
    <tableColumn id="2" name="MalzemeID"/>
    <tableColumn id="3" name="Malzeme"/>
    <tableColumn id="4" name="TarihSaat"/>
    <tableColumn id="5" name="HareketTipi"/>
    <tableColumn id="6" name="Miktar"/>
    <tableColumn id="7" name="AlışBirimFiyat"/>
    <tableColumn id="8" name="GirişMiktar"/>
    <tableColumn id="9" name="ÇıkışMiktar"/>
    <tableColumn id="10" name="ÖncekiStokMiktarı"/>
    <tableColumn id="11" name="ÖncekiStokTutarı"/>
    <tableColumn id="12" name="ÖncekiBirimMaliyet"/>
    <tableColumn id="13" name="GirişTutarı"/>
    <tableColumn id="14" name="ÇıkışMaliyeti"/>
    <tableColumn id="15" name="StokMiktarı"/>
    <tableColumn id="16" name="StokTutarı"/>
    <tableColumn id="17" name="AnlıkBirimMaliyet"/>
    <tableColumn id="18" name="Formül mantığ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IFO" displayName="tblFIFO" ref="A5:R19" headerRowCount="1">
  <autoFilter ref="A5:R19"/>
  <tableColumns count="18">
    <tableColumn id="1" name="HareketID"/>
    <tableColumn id="2" name="MalzemeID"/>
    <tableColumn id="3" name="Malzeme"/>
    <tableColumn id="4" name="TarihSaat"/>
    <tableColumn id="5" name="HareketTipi"/>
    <tableColumn id="6" name="Miktar"/>
    <tableColumn id="7" name="AlışBirimFiyat"/>
    <tableColumn id="8" name="GirişMiktar"/>
    <tableColumn id="9" name="ÇıkışMiktar"/>
    <tableColumn id="10" name="Küm.GirişÖncesi"/>
    <tableColumn id="11" name="Küm.GirişSonrası"/>
    <tableColumn id="12" name="Küm.ÇıkışÖncesi"/>
    <tableColumn id="13" name="Küm.ÇıkışSonrası"/>
    <tableColumn id="14" name="FIFOÇıkışMaliyeti"/>
    <tableColumn id="15" name="StokMiktarı"/>
    <tableColumn id="16" name="FIFOStokTutarı"/>
    <tableColumn id="17" name="FIFOStokBirimMaliyeti"/>
    <tableColumn id="18" name="Formül mantığı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blSonAlis" displayName="tblSonAlis" ref="A5:O19" headerRowCount="1">
  <autoFilter ref="A5:O19"/>
  <tableColumns count="15">
    <tableColumn id="1" name="HareketID"/>
    <tableColumn id="2" name="MalzemeID"/>
    <tableColumn id="3" name="Malzeme"/>
    <tableColumn id="4" name="TarihSaat"/>
    <tableColumn id="5" name="HareketTipi"/>
    <tableColumn id="6" name="Miktar"/>
    <tableColumn id="7" name="AlışBirimFiyat"/>
    <tableColumn id="8" name="GirişMiktar"/>
    <tableColumn id="9" name="ÇıkışMiktar"/>
    <tableColumn id="10" name="ÖncekiSonAlış"/>
    <tableColumn id="11" name="SonAlışBirimMaliyet"/>
    <tableColumn id="12" name="ÇıkışMaliyeti"/>
    <tableColumn id="13" name="StokMiktarı"/>
    <tableColumn id="14" name="TeorikStokDeğeri"/>
    <tableColumn id="15" name="Formül mantığı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tblBuyukDataKarsilastirma" displayName="tblBuyukDataKarsilastirma" ref="A35:D38" headerRowCount="1">
  <autoFilter ref="A35:D38"/>
  <tableColumns count="4">
    <tableColumn id="1" name="Yöntem"/>
    <tableColumn id="2" name="Snapshot/state"/>
    <tableColumn id="3" name="Çıkış maliyeti"/>
    <tableColumn id="4" name="Büyük veride önerilen işlem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tblRecete" displayName="tblRecete" ref="A5:L9" headerRowCount="1">
  <autoFilter ref="A5:L9"/>
  <tableColumns count="12">
    <tableColumn id="1" name="MenüKalemi"/>
    <tableColumn id="2" name="MalzemeID"/>
    <tableColumn id="3" name="Malzeme"/>
    <tableColumn id="4" name="NetMiktar"/>
    <tableColumn id="5" name="Yield"/>
    <tableColumn id="6" name="MaliyeteEsasMiktar"/>
    <tableColumn id="7" name="WACBirim"/>
    <tableColumn id="8" name="FIFOBirim"/>
    <tableColumn id="9" name="SonAlışBirim"/>
    <tableColumn id="10" name="WACSatırMaliyeti"/>
    <tableColumn id="11" name="FIFOSatırMaliyeti"/>
    <tableColumn id="12" name="SonAlışSatırMaliyeti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ReceteToplam" displayName="tblReceteToplam" ref="A14:E16" headerRowCount="1">
  <autoFilter ref="A14:E16"/>
  <tableColumns count="5">
    <tableColumn id="1" name="MenüKalemi"/>
    <tableColumn id="2" name="WAC Toplam"/>
    <tableColumn id="3" name="FIFO Toplam"/>
    <tableColumn id="4" name="Son Alış Toplam"/>
    <tableColumn id="5" name="Son Alış - WAC Farkı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30" customHeight="1">
      <c r="A1" s="1" t="inlineStr">
        <is>
          <t>Restoran Anlık Maliyet Yöntemleri</t>
        </is>
      </c>
    </row>
    <row r="2" ht="38" customHeight="1">
      <c r="A2" s="2" t="inlineStr">
        <is>
          <t>Ağırlıklı Ortalama, FIFO ve Son Alış Fiyatı yöntemlerinin büyük veri mantığıyla formülleştirilmiş Excel çalışma kitabı.</t>
        </is>
      </c>
    </row>
    <row r="4">
      <c r="A4" s="3" t="inlineStr">
        <is>
          <t>Dosyanın amacı</t>
        </is>
      </c>
    </row>
    <row r="5">
      <c r="A5" s="4" t="inlineStr">
        <is>
          <t>Bir hammaddenin farklı fiyatlardan tekrar tekrar satın alındığı restoran yapısında, stoktan çıkan miktarın hangi birim maliyetle değerleneceğini göstermek. Büyük datada kritik nokta; her hareketi tek bir log tablosunda tutmak, satırları MalzemeID + TarihSaat + HareketID sırasına sokmak ve hesaplamayı ürün bazlı akan bakiye olarak yapmaktır.</t>
        </is>
      </c>
    </row>
    <row r="6"/>
    <row r="9" ht="34" customHeight="1">
      <c r="A9" s="5" t="inlineStr">
        <is>
          <t>Yöntem</t>
        </is>
      </c>
      <c r="B9" s="5" t="inlineStr">
        <is>
          <t>Ana mantık</t>
        </is>
      </c>
      <c r="C9" s="5" t="inlineStr">
        <is>
          <t>Formül özeti</t>
        </is>
      </c>
      <c r="D9" s="5" t="inlineStr">
        <is>
          <t>Büyük veride uygulama</t>
        </is>
      </c>
      <c r="E9" s="5" t="inlineStr">
        <is>
          <t>Restoran yorumu</t>
        </is>
      </c>
    </row>
    <row r="10" ht="78" customHeight="1">
      <c r="A10" s="6" t="inlineStr">
        <is>
          <t>Ağırlıklı Ortalama</t>
        </is>
      </c>
      <c r="B10" s="7" t="inlineStr">
        <is>
          <t>Depoda kalan stok tutarı / depoda kalan miktar = tek cari birim maliyet.</t>
        </is>
      </c>
      <c r="C10" s="7" t="inlineStr">
        <is>
          <t>Q_t = Q_(t-1)+Giriş-Çıkış; V_t = V_(t-1)+AlışTutarı-Çıkış*ÖncekiOrtalama; C_t = V_t/Q_t</t>
        </is>
      </c>
      <c r="D10" s="7" t="inlineStr">
        <is>
          <t>Ürün bazında sıralı hareket akışı ve sadece üst satırdan gelen stok/tutar. Çok büyük hacimde günlük snapshot tablosu kullanılır.</t>
        </is>
      </c>
      <c r="E10" s="7" t="inlineStr">
        <is>
          <t>Restoran için genelde en dengeli yöntem; porsiyon maliyetini ani sıçramadan korur.</t>
        </is>
      </c>
    </row>
    <row r="11" ht="78" customHeight="1">
      <c r="A11" s="6" t="inlineStr">
        <is>
          <t>FIFO</t>
        </is>
      </c>
      <c r="B11" s="7" t="inlineStr">
        <is>
          <t>İlk alınan parti önce tüketilmiş kabul edilir. Her alış bir maliyet katmanıdır.</t>
        </is>
      </c>
      <c r="C11" s="7" t="inlineStr">
        <is>
          <t>Çıkış maliyeti = SUM(partiden kullanılan miktar * parti fiyatı). Kullanım miktarı kümülatif giriş/çıkış aralığı kesişimidir.</t>
        </is>
      </c>
      <c r="D11" s="7" t="inlineStr">
        <is>
          <t>Büyük veride açık FIFO lot kuyruğu, lot başlangıç/bitiş kümülatifi ve parti tüketim tablosu tutulur.</t>
        </is>
      </c>
      <c r="E11" s="7" t="inlineStr">
        <is>
          <t>Fiziki gıda akışına uyar; aynı gün içinde maliyet sıçraması yaratabilir.</t>
        </is>
      </c>
    </row>
    <row r="12" ht="78" customHeight="1">
      <c r="A12" s="6" t="inlineStr">
        <is>
          <t>Son Alış Fiyatı</t>
        </is>
      </c>
      <c r="B12" s="7" t="inlineStr">
        <is>
          <t>Anlık maliyet, depodaki karışım ne olursa olsun en son fatura fiyatıdır.</t>
        </is>
      </c>
      <c r="C12" s="7" t="inlineStr">
        <is>
          <t>C_t = Alış varsa AlışBirimFiyat, yoksa C_(t-1); Çıkış maliyeti = Çıkış * C_t</t>
        </is>
      </c>
      <c r="D12" s="7" t="inlineStr">
        <is>
          <t>Ürün master/snapshot tablosunda LastPurchasePrice güncellenir; satış ve reçete maliyetleri bunu okur.</t>
        </is>
      </c>
      <c r="E12" s="7" t="inlineStr">
        <is>
          <t>Enflasyonist ortamda korumacı fiyatlama sağlar; stok değerini olduğundan yüksek gösterebilir.</t>
        </is>
      </c>
    </row>
    <row r="15">
      <c r="A15" s="3" t="inlineStr">
        <is>
          <t>Dosya yapısı</t>
        </is>
      </c>
    </row>
    <row r="16">
      <c r="A16" s="6" t="inlineStr">
        <is>
          <t>01_Ham_Veri</t>
        </is>
      </c>
      <c r="B16" s="7" t="inlineStr">
        <is>
          <t>Tek hareket logu: alış, tüketim, fire ve belge bilgileri.</t>
        </is>
      </c>
    </row>
    <row r="17">
      <c r="A17" s="6" t="inlineStr">
        <is>
          <t>02_Agirlikli_Ortalama</t>
        </is>
      </c>
      <c r="B17" s="7" t="inlineStr">
        <is>
          <t>Canlı satır formülleriyle ağırlıklı ortalama maliyet.</t>
        </is>
      </c>
    </row>
    <row r="18">
      <c r="A18" s="6" t="inlineStr">
        <is>
          <t>03_FIFO</t>
        </is>
      </c>
      <c r="B18" s="7" t="inlineStr">
        <is>
          <t>Kümülatif aralık mantığıyla FIFO çıkış maliyeti.</t>
        </is>
      </c>
    </row>
    <row r="19">
      <c r="A19" s="6" t="inlineStr">
        <is>
          <t>04_Son_Alis</t>
        </is>
      </c>
      <c r="B19" s="7" t="inlineStr">
        <is>
          <t>Son fatura fiyatı üzerinden maliyetleme.</t>
        </is>
      </c>
    </row>
    <row r="20">
      <c r="A20" s="6" t="inlineStr">
        <is>
          <t>05_Buyuk_Data_Rehberi</t>
        </is>
      </c>
      <c r="B20" s="7" t="inlineStr">
        <is>
          <t>Milyonlarca satır için veri modeli, formül ve performans notları.</t>
        </is>
      </c>
    </row>
    <row r="21">
      <c r="A21" s="6" t="inlineStr">
        <is>
          <t>06_Recete_Maliyeti</t>
        </is>
      </c>
      <c r="B21" s="7" t="inlineStr">
        <is>
          <t>Yöntemlerin menü/reçete maliyetine etkisi.</t>
        </is>
      </c>
    </row>
    <row r="23">
      <c r="A23" s="8" t="inlineStr">
        <is>
          <t>Hazırlanma tarihi: 2026-06-11 | Not: Formüller İngilizce Excel fonksiyon adlarıyla yazılır; Türkçe Excel arayüzünde yerel adlarla görüntülenebilir.</t>
        </is>
      </c>
    </row>
  </sheetData>
  <mergeCells count="1">
    <mergeCell ref="A5:E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6" customWidth="1" min="4" max="4"/>
    <col width="8" customWidth="1" min="5" max="5"/>
    <col width="13" customWidth="1" min="6" max="6"/>
    <col width="12" customWidth="1" min="7" max="7"/>
    <col width="15" customWidth="1" min="8" max="8"/>
    <col width="13" customWidth="1" min="9" max="9"/>
    <col width="24" customWidth="1" min="10" max="10"/>
  </cols>
  <sheetData>
    <row r="1" ht="30" customHeight="1">
      <c r="A1" s="1" t="inlineStr">
        <is>
          <t>Ham Veri Şablonu</t>
        </is>
      </c>
    </row>
    <row r="2" ht="38" customHeight="1">
      <c r="A2" s="2" t="inlineStr">
        <is>
          <t>Büyük veride bu sayfa mantığı tek kaynak hareket logudur. Her satır bir stok hareketidir; silmek yerine düzeltme/iptal hareketi eklenir.</t>
        </is>
      </c>
    </row>
    <row r="5" ht="34" customHeight="1">
      <c r="A5" s="5" t="inlineStr">
        <is>
          <t>HareketID</t>
        </is>
      </c>
      <c r="B5" s="5" t="inlineStr">
        <is>
          <t>TarihSaat</t>
        </is>
      </c>
      <c r="C5" s="5" t="inlineStr">
        <is>
          <t>MalzemeID</t>
        </is>
      </c>
      <c r="D5" s="5" t="inlineStr">
        <is>
          <t>Malzeme</t>
        </is>
      </c>
      <c r="E5" s="5" t="inlineStr">
        <is>
          <t>Birim</t>
        </is>
      </c>
      <c r="F5" s="5" t="inlineStr">
        <is>
          <t>HareketTipi</t>
        </is>
      </c>
      <c r="G5" s="5" t="inlineStr">
        <is>
          <t>Miktar</t>
        </is>
      </c>
      <c r="H5" s="5" t="inlineStr">
        <is>
          <t>AlışBirimFiyat</t>
        </is>
      </c>
      <c r="I5" s="5" t="inlineStr">
        <is>
          <t>BelgeNo</t>
        </is>
      </c>
      <c r="J5" s="5" t="inlineStr">
        <is>
          <t>Not</t>
        </is>
      </c>
      <c r="L5" s="9" t="inlineStr">
        <is>
          <t>Okuma notu</t>
        </is>
      </c>
      <c r="M5" s="9" t="n"/>
      <c r="N5" s="9" t="n"/>
      <c r="O5" s="9" t="n"/>
    </row>
    <row r="6" ht="42" customHeight="1">
      <c r="A6" s="7" t="n">
        <v>1</v>
      </c>
      <c r="B6" s="10" t="n">
        <v>46023.33333333334</v>
      </c>
      <c r="C6" s="7" t="inlineStr">
        <is>
          <t>ET001</t>
        </is>
      </c>
      <c r="D6" s="7" t="inlineStr">
        <is>
          <t>Dana eti</t>
        </is>
      </c>
      <c r="E6" s="7" t="inlineStr">
        <is>
          <t>kg</t>
        </is>
      </c>
      <c r="F6" s="7" t="inlineStr">
        <is>
          <t>Alış</t>
        </is>
      </c>
      <c r="G6" s="11" t="n">
        <v>10</v>
      </c>
      <c r="H6" s="12" t="n">
        <v>400</v>
      </c>
      <c r="I6" s="7" t="inlineStr">
        <is>
          <t>FAT-001</t>
        </is>
      </c>
      <c r="J6" s="7" t="inlineStr">
        <is>
          <t>İlk alım</t>
        </is>
      </c>
      <c r="L6" s="13" t="inlineStr">
        <is>
          <t>Zorunlu sıralama: MalzemeID + TarihSaat + HareketID. Üç yöntem de aynı sıralı hareket akışından beslenir.</t>
        </is>
      </c>
      <c r="M6" s="13" t="n"/>
      <c r="N6" s="13" t="n"/>
      <c r="O6" s="13" t="n"/>
    </row>
    <row r="7" ht="42" customHeight="1">
      <c r="A7" s="7" t="n">
        <v>2</v>
      </c>
      <c r="B7" s="10" t="n">
        <v>46023.77083333334</v>
      </c>
      <c r="C7" s="7" t="inlineStr">
        <is>
          <t>ET001</t>
        </is>
      </c>
      <c r="D7" s="7" t="inlineStr">
        <is>
          <t>Dana eti</t>
        </is>
      </c>
      <c r="E7" s="7" t="inlineStr">
        <is>
          <t>kg</t>
        </is>
      </c>
      <c r="F7" s="7" t="inlineStr">
        <is>
          <t>Tüketim</t>
        </is>
      </c>
      <c r="G7" s="11" t="n">
        <v>3</v>
      </c>
      <c r="H7" s="12" t="n"/>
      <c r="I7" s="7" t="inlineStr">
        <is>
          <t>POS-001</t>
        </is>
      </c>
      <c r="J7" s="7" t="inlineStr">
        <is>
          <t>Reçete tüketimi</t>
        </is>
      </c>
      <c r="L7" s="13" t="inlineStr">
        <is>
          <t>Alış satırında miktar ve alış birim fiyatı dolu olur. Tüketim/fire satırında fiyat boş bırakılır; maliyet seçilen yönteme göre hesaplanır.</t>
        </is>
      </c>
      <c r="M7" s="13" t="n"/>
      <c r="N7" s="13" t="n"/>
      <c r="O7" s="13" t="n"/>
    </row>
    <row r="8" ht="42" customHeight="1">
      <c r="A8" s="7" t="n">
        <v>3</v>
      </c>
      <c r="B8" s="10" t="n">
        <v>46024.38541666666</v>
      </c>
      <c r="C8" s="7" t="inlineStr">
        <is>
          <t>ET001</t>
        </is>
      </c>
      <c r="D8" s="7" t="inlineStr">
        <is>
          <t>Dana eti</t>
        </is>
      </c>
      <c r="E8" s="7" t="inlineStr">
        <is>
          <t>kg</t>
        </is>
      </c>
      <c r="F8" s="7" t="inlineStr">
        <is>
          <t>Alış</t>
        </is>
      </c>
      <c r="G8" s="11" t="n">
        <v>20</v>
      </c>
      <c r="H8" s="12" t="n">
        <v>460</v>
      </c>
      <c r="I8" s="7" t="inlineStr">
        <is>
          <t>FAT-002</t>
        </is>
      </c>
      <c r="J8" s="7" t="inlineStr">
        <is>
          <t>Yeni fiyat</t>
        </is>
      </c>
      <c r="L8" s="13" t="inlineStr">
        <is>
          <t>Çok büyük datada bu tablo Excel yerine veritabanında tutulabilir; Excel sadece model, rapor veya doğrulama katmanı olur.</t>
        </is>
      </c>
      <c r="M8" s="13" t="n"/>
      <c r="N8" s="13" t="n"/>
      <c r="O8" s="13" t="n"/>
    </row>
    <row r="9">
      <c r="A9" s="7" t="n">
        <v>4</v>
      </c>
      <c r="B9" s="10" t="n">
        <v>46024.79166666666</v>
      </c>
      <c r="C9" s="7" t="inlineStr">
        <is>
          <t>ET001</t>
        </is>
      </c>
      <c r="D9" s="7" t="inlineStr">
        <is>
          <t>Dana eti</t>
        </is>
      </c>
      <c r="E9" s="7" t="inlineStr">
        <is>
          <t>kg</t>
        </is>
      </c>
      <c r="F9" s="7" t="inlineStr">
        <is>
          <t>Tüketim</t>
        </is>
      </c>
      <c r="G9" s="11" t="n">
        <v>12</v>
      </c>
      <c r="H9" s="12" t="n"/>
      <c r="I9" s="7" t="inlineStr">
        <is>
          <t>POS-002</t>
        </is>
      </c>
      <c r="J9" s="7" t="inlineStr">
        <is>
          <t>Yoğun servis</t>
        </is>
      </c>
    </row>
    <row r="10">
      <c r="A10" s="7" t="n">
        <v>5</v>
      </c>
      <c r="B10" s="10" t="n">
        <v>46025.38888888889</v>
      </c>
      <c r="C10" s="7" t="inlineStr">
        <is>
          <t>ET001</t>
        </is>
      </c>
      <c r="D10" s="7" t="inlineStr">
        <is>
          <t>Dana eti</t>
        </is>
      </c>
      <c r="E10" s="7" t="inlineStr">
        <is>
          <t>kg</t>
        </is>
      </c>
      <c r="F10" s="7" t="inlineStr">
        <is>
          <t>Alış</t>
        </is>
      </c>
      <c r="G10" s="11" t="n">
        <v>15</v>
      </c>
      <c r="H10" s="12" t="n">
        <v>500</v>
      </c>
      <c r="I10" s="7" t="inlineStr">
        <is>
          <t>FAT-003</t>
        </is>
      </c>
      <c r="J10" s="7" t="inlineStr">
        <is>
          <t>Fiyat artışı</t>
        </is>
      </c>
    </row>
    <row r="11">
      <c r="A11" s="7" t="n">
        <v>6</v>
      </c>
      <c r="B11" s="10" t="n">
        <v>46025.88194444445</v>
      </c>
      <c r="C11" s="7" t="inlineStr">
        <is>
          <t>ET001</t>
        </is>
      </c>
      <c r="D11" s="7" t="inlineStr">
        <is>
          <t>Dana eti</t>
        </is>
      </c>
      <c r="E11" s="7" t="inlineStr">
        <is>
          <t>kg</t>
        </is>
      </c>
      <c r="F11" s="7" t="inlineStr">
        <is>
          <t>Tüketim</t>
        </is>
      </c>
      <c r="G11" s="11" t="n">
        <v>18</v>
      </c>
      <c r="H11" s="12" t="n"/>
      <c r="I11" s="7" t="inlineStr">
        <is>
          <t>POS-003</t>
        </is>
      </c>
      <c r="J11" s="7" t="inlineStr">
        <is>
          <t>Reçete tüketimi</t>
        </is>
      </c>
    </row>
    <row r="12">
      <c r="A12" s="7" t="n">
        <v>7</v>
      </c>
      <c r="B12" s="10" t="n">
        <v>46026.45833333334</v>
      </c>
      <c r="C12" s="7" t="inlineStr">
        <is>
          <t>ET001</t>
        </is>
      </c>
      <c r="D12" s="7" t="inlineStr">
        <is>
          <t>Dana eti</t>
        </is>
      </c>
      <c r="E12" s="7" t="inlineStr">
        <is>
          <t>kg</t>
        </is>
      </c>
      <c r="F12" s="7" t="inlineStr">
        <is>
          <t>Fire</t>
        </is>
      </c>
      <c r="G12" s="11" t="n">
        <v>1</v>
      </c>
      <c r="H12" s="12" t="n"/>
      <c r="I12" s="7" t="inlineStr">
        <is>
          <t>FIRE-001</t>
        </is>
      </c>
      <c r="J12" s="7" t="inlineStr">
        <is>
          <t>Temizleme firesi</t>
        </is>
      </c>
    </row>
    <row r="13">
      <c r="A13" s="7" t="n">
        <v>8</v>
      </c>
      <c r="B13" s="10" t="n">
        <v>46023.3125</v>
      </c>
      <c r="C13" s="7" t="inlineStr">
        <is>
          <t>UN001</t>
        </is>
      </c>
      <c r="D13" s="7" t="inlineStr">
        <is>
          <t>Un</t>
        </is>
      </c>
      <c r="E13" s="7" t="inlineStr">
        <is>
          <t>kg</t>
        </is>
      </c>
      <c r="F13" s="7" t="inlineStr">
        <is>
          <t>Alış</t>
        </is>
      </c>
      <c r="G13" s="11" t="n">
        <v>50</v>
      </c>
      <c r="H13" s="12" t="n">
        <v>18</v>
      </c>
      <c r="I13" s="7" t="inlineStr">
        <is>
          <t>FAT-010</t>
        </is>
      </c>
      <c r="J13" s="7" t="inlineStr">
        <is>
          <t>İlk alım</t>
        </is>
      </c>
    </row>
    <row r="14">
      <c r="A14" s="7" t="n">
        <v>9</v>
      </c>
      <c r="B14" s="10" t="n">
        <v>46023.83333333334</v>
      </c>
      <c r="C14" s="7" t="inlineStr">
        <is>
          <t>UN001</t>
        </is>
      </c>
      <c r="D14" s="7" t="inlineStr">
        <is>
          <t>Un</t>
        </is>
      </c>
      <c r="E14" s="7" t="inlineStr">
        <is>
          <t>kg</t>
        </is>
      </c>
      <c r="F14" s="7" t="inlineStr">
        <is>
          <t>Tüketim</t>
        </is>
      </c>
      <c r="G14" s="11" t="n">
        <v>12</v>
      </c>
      <c r="H14" s="12" t="n"/>
      <c r="I14" s="7" t="inlineStr">
        <is>
          <t>POS-010</t>
        </is>
      </c>
      <c r="J14" s="7" t="inlineStr">
        <is>
          <t>Hamur üretimi</t>
        </is>
      </c>
    </row>
    <row r="15">
      <c r="A15" s="7" t="n">
        <v>10</v>
      </c>
      <c r="B15" s="10" t="n">
        <v>46024.31944444445</v>
      </c>
      <c r="C15" s="7" t="inlineStr">
        <is>
          <t>UN001</t>
        </is>
      </c>
      <c r="D15" s="7" t="inlineStr">
        <is>
          <t>Un</t>
        </is>
      </c>
      <c r="E15" s="7" t="inlineStr">
        <is>
          <t>kg</t>
        </is>
      </c>
      <c r="F15" s="7" t="inlineStr">
        <is>
          <t>Alış</t>
        </is>
      </c>
      <c r="G15" s="11" t="n">
        <v>60</v>
      </c>
      <c r="H15" s="12" t="n">
        <v>21</v>
      </c>
      <c r="I15" s="7" t="inlineStr">
        <is>
          <t>FAT-011</t>
        </is>
      </c>
      <c r="J15" s="7" t="inlineStr">
        <is>
          <t>Yeni fiyat</t>
        </is>
      </c>
    </row>
    <row r="16">
      <c r="A16" s="7" t="n">
        <v>11</v>
      </c>
      <c r="B16" s="10" t="n">
        <v>46024.875</v>
      </c>
      <c r="C16" s="7" t="inlineStr">
        <is>
          <t>UN001</t>
        </is>
      </c>
      <c r="D16" s="7" t="inlineStr">
        <is>
          <t>Un</t>
        </is>
      </c>
      <c r="E16" s="7" t="inlineStr">
        <is>
          <t>kg</t>
        </is>
      </c>
      <c r="F16" s="7" t="inlineStr">
        <is>
          <t>Tüketim</t>
        </is>
      </c>
      <c r="G16" s="11" t="n">
        <v>40</v>
      </c>
      <c r="H16" s="12" t="n"/>
      <c r="I16" s="7" t="inlineStr">
        <is>
          <t>POS-011</t>
        </is>
      </c>
      <c r="J16" s="7" t="inlineStr">
        <is>
          <t>Hamur üretimi</t>
        </is>
      </c>
    </row>
    <row r="17">
      <c r="A17" s="7" t="n">
        <v>12</v>
      </c>
      <c r="B17" s="10" t="n">
        <v>46025.34027777778</v>
      </c>
      <c r="C17" s="7" t="inlineStr">
        <is>
          <t>UN001</t>
        </is>
      </c>
      <c r="D17" s="7" t="inlineStr">
        <is>
          <t>Un</t>
        </is>
      </c>
      <c r="E17" s="7" t="inlineStr">
        <is>
          <t>kg</t>
        </is>
      </c>
      <c r="F17" s="7" t="inlineStr">
        <is>
          <t>Alış</t>
        </is>
      </c>
      <c r="G17" s="11" t="n">
        <v>40</v>
      </c>
      <c r="H17" s="12" t="n">
        <v>24</v>
      </c>
      <c r="I17" s="7" t="inlineStr">
        <is>
          <t>FAT-012</t>
        </is>
      </c>
      <c r="J17" s="7" t="inlineStr">
        <is>
          <t>Fiyat artışı</t>
        </is>
      </c>
    </row>
    <row r="18">
      <c r="A18" s="7" t="n">
        <v>13</v>
      </c>
      <c r="B18" s="10" t="n">
        <v>46026.85416666666</v>
      </c>
      <c r="C18" s="7" t="inlineStr">
        <is>
          <t>UN001</t>
        </is>
      </c>
      <c r="D18" s="7" t="inlineStr">
        <is>
          <t>Un</t>
        </is>
      </c>
      <c r="E18" s="7" t="inlineStr">
        <is>
          <t>kg</t>
        </is>
      </c>
      <c r="F18" s="7" t="inlineStr">
        <is>
          <t>Tüketim</t>
        </is>
      </c>
      <c r="G18" s="11" t="n">
        <v>55</v>
      </c>
      <c r="H18" s="12" t="n"/>
      <c r="I18" s="7" t="inlineStr">
        <is>
          <t>POS-012</t>
        </is>
      </c>
      <c r="J18" s="7" t="inlineStr">
        <is>
          <t>Hamur üretimi</t>
        </is>
      </c>
    </row>
    <row r="19">
      <c r="A19" s="7" t="n">
        <v>14</v>
      </c>
      <c r="B19" s="10" t="n">
        <v>46027.41666666666</v>
      </c>
      <c r="C19" s="7" t="inlineStr">
        <is>
          <t>UN001</t>
        </is>
      </c>
      <c r="D19" s="7" t="inlineStr">
        <is>
          <t>Un</t>
        </is>
      </c>
      <c r="E19" s="7" t="inlineStr">
        <is>
          <t>kg</t>
        </is>
      </c>
      <c r="F19" s="7" t="inlineStr">
        <is>
          <t>Fire</t>
        </is>
      </c>
      <c r="G19" s="11" t="n">
        <v>2</v>
      </c>
      <c r="H19" s="12" t="n"/>
      <c r="I19" s="7" t="inlineStr">
        <is>
          <t>FIRE-010</t>
        </is>
      </c>
      <c r="J19" s="7" t="inlineStr">
        <is>
          <t>Dökülme/fire</t>
        </is>
      </c>
    </row>
    <row r="21">
      <c r="A21" s="8" t="inlineStr">
        <is>
          <t>Hazırlanma tarihi: 2026-06-11 | Not: Formüller İngilizce Excel fonksiyon adlarıyla yazılır; Türkçe Excel arayüzünde yerel adlarla görüntülenebilir.</t>
        </is>
      </c>
    </row>
  </sheetData>
  <dataValidations count="1">
    <dataValidation sqref="F6:F505" showDropDown="0" showInputMessage="0" showErrorMessage="0" allowBlank="0" type="list">
      <formula1>"Alış,Tüketim,Fire"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8" customWidth="1" min="4" max="4"/>
    <col width="13" customWidth="1" min="5" max="5"/>
    <col width="10" customWidth="1" min="6" max="6"/>
    <col width="15" customWidth="1" min="7" max="7"/>
    <col width="12" customWidth="1" min="8" max="8"/>
    <col width="12" customWidth="1" min="9" max="9"/>
    <col width="17" customWidth="1" min="10" max="10"/>
    <col width="17" customWidth="1" min="11" max="11"/>
    <col width="18" customWidth="1" min="12" max="12"/>
    <col width="14" customWidth="1" min="13" max="13"/>
    <col width="14" customWidth="1" min="14" max="14"/>
    <col width="13" customWidth="1" min="15" max="15"/>
    <col width="14" customWidth="1" min="16" max="16"/>
    <col width="18" customWidth="1" min="17" max="17"/>
    <col width="42" customWidth="1" min="18" max="18"/>
  </cols>
  <sheetData>
    <row r="1" ht="30" customHeight="1">
      <c r="A1" s="1" t="inlineStr">
        <is>
          <t>Ağırlıklı Ortalama Maliyet</t>
        </is>
      </c>
    </row>
    <row r="2" ht="38" customHeight="1">
      <c r="A2" s="2" t="inlineStr">
        <is>
          <t>Restoranlar için genelde en dengeli yöntem. Formüller, aynı malzemede üst satırdaki stok miktarı ve stok tutarından devam eder.</t>
        </is>
      </c>
    </row>
    <row r="3">
      <c r="A3" s="14" t="inlineStr">
        <is>
          <t>Büyük veri formülü: Q_t=Q_(t-1)+Giriş-Çıkış | V_t=V_(t-1)+GirişTutarı-Çıkış*ÖncekiBirimMaliyet | C_t=V_t/Q_t</t>
        </is>
      </c>
    </row>
    <row r="5" ht="34" customHeight="1">
      <c r="A5" s="5" t="inlineStr">
        <is>
          <t>HareketID</t>
        </is>
      </c>
      <c r="B5" s="5" t="inlineStr">
        <is>
          <t>MalzemeID</t>
        </is>
      </c>
      <c r="C5" s="5" t="inlineStr">
        <is>
          <t>Malzeme</t>
        </is>
      </c>
      <c r="D5" s="5" t="inlineStr">
        <is>
          <t>TarihSaat</t>
        </is>
      </c>
      <c r="E5" s="5" t="inlineStr">
        <is>
          <t>HareketTipi</t>
        </is>
      </c>
      <c r="F5" s="5" t="inlineStr">
        <is>
          <t>Miktar</t>
        </is>
      </c>
      <c r="G5" s="5" t="inlineStr">
        <is>
          <t>AlışBirimFiyat</t>
        </is>
      </c>
      <c r="H5" s="5" t="inlineStr">
        <is>
          <t>GirişMiktar</t>
        </is>
      </c>
      <c r="I5" s="5" t="inlineStr">
        <is>
          <t>ÇıkışMiktar</t>
        </is>
      </c>
      <c r="J5" s="5" t="inlineStr">
        <is>
          <t>ÖncekiStokMiktarı</t>
        </is>
      </c>
      <c r="K5" s="5" t="inlineStr">
        <is>
          <t>ÖncekiStokTutarı</t>
        </is>
      </c>
      <c r="L5" s="5" t="inlineStr">
        <is>
          <t>ÖncekiBirimMaliyet</t>
        </is>
      </c>
      <c r="M5" s="5" t="inlineStr">
        <is>
          <t>GirişTutarı</t>
        </is>
      </c>
      <c r="N5" s="5" t="inlineStr">
        <is>
          <t>ÇıkışMaliyeti</t>
        </is>
      </c>
      <c r="O5" s="5" t="inlineStr">
        <is>
          <t>StokMiktarı</t>
        </is>
      </c>
      <c r="P5" s="5" t="inlineStr">
        <is>
          <t>StokTutarı</t>
        </is>
      </c>
      <c r="Q5" s="5" t="inlineStr">
        <is>
          <t>AnlıkBirimMaliyet</t>
        </is>
      </c>
      <c r="R5" s="5" t="inlineStr">
        <is>
          <t>Formül mantığı</t>
        </is>
      </c>
    </row>
    <row r="6">
      <c r="A6" s="7" t="n">
        <v>1</v>
      </c>
      <c r="B6" s="7" t="inlineStr">
        <is>
          <t>ET001</t>
        </is>
      </c>
      <c r="C6" s="7" t="inlineStr">
        <is>
          <t>Dana eti</t>
        </is>
      </c>
      <c r="D6" s="10" t="n">
        <v>46023.33333333334</v>
      </c>
      <c r="E6" s="7" t="inlineStr">
        <is>
          <t>Alış</t>
        </is>
      </c>
      <c r="F6" s="11" t="n">
        <v>10</v>
      </c>
      <c r="G6" s="12" t="n">
        <v>400</v>
      </c>
      <c r="H6" s="15">
        <f>IF($E6="Alış",$F6,0)</f>
        <v/>
      </c>
      <c r="I6" s="15">
        <f>IF($E6&lt;&gt;"Alış",$F6,0)</f>
        <v/>
      </c>
      <c r="J6" s="15">
        <f>IF($B6=$B5,$O5,0)</f>
        <v/>
      </c>
      <c r="K6" s="16">
        <f>IF($B6=$B5,$P5,0)</f>
        <v/>
      </c>
      <c r="L6" s="16">
        <f>IF($J6=0,0,$K6/$J6)</f>
        <v/>
      </c>
      <c r="M6" s="16">
        <f>$H6*$G6</f>
        <v/>
      </c>
      <c r="N6" s="16">
        <f>$I6*$L6</f>
        <v/>
      </c>
      <c r="O6" s="17">
        <f>$J6+$H6-$I6</f>
        <v/>
      </c>
      <c r="P6" s="18">
        <f>$K6+$M6-$N6</f>
        <v/>
      </c>
      <c r="Q6" s="18">
        <f>IF($O6=0,0,$P6/$O6)</f>
        <v/>
      </c>
      <c r="R6" s="7" t="inlineStr">
        <is>
          <t>Ortalama maliyet stok tutarı / stok miktarıdır; çıkışlar önceki ortalama ile düşer.</t>
        </is>
      </c>
    </row>
    <row r="7">
      <c r="A7" s="7" t="n">
        <v>2</v>
      </c>
      <c r="B7" s="7" t="inlineStr">
        <is>
          <t>ET001</t>
        </is>
      </c>
      <c r="C7" s="7" t="inlineStr">
        <is>
          <t>Dana eti</t>
        </is>
      </c>
      <c r="D7" s="10" t="n">
        <v>46023.77083333334</v>
      </c>
      <c r="E7" s="7" t="inlineStr">
        <is>
          <t>Tüketim</t>
        </is>
      </c>
      <c r="F7" s="11" t="n">
        <v>3</v>
      </c>
      <c r="G7" s="12" t="n"/>
      <c r="H7" s="15">
        <f>IF($E7="Alış",$F7,0)</f>
        <v/>
      </c>
      <c r="I7" s="15">
        <f>IF($E7&lt;&gt;"Alış",$F7,0)</f>
        <v/>
      </c>
      <c r="J7" s="15">
        <f>IF($B7=$B6,$O6,0)</f>
        <v/>
      </c>
      <c r="K7" s="16">
        <f>IF($B7=$B6,$P6,0)</f>
        <v/>
      </c>
      <c r="L7" s="16">
        <f>IF($J7=0,0,$K7/$J7)</f>
        <v/>
      </c>
      <c r="M7" s="16">
        <f>$H7*$G7</f>
        <v/>
      </c>
      <c r="N7" s="16">
        <f>$I7*$L7</f>
        <v/>
      </c>
      <c r="O7" s="17">
        <f>$J7+$H7-$I7</f>
        <v/>
      </c>
      <c r="P7" s="18">
        <f>$K7+$M7-$N7</f>
        <v/>
      </c>
      <c r="Q7" s="18">
        <f>IF($O7=0,0,$P7/$O7)</f>
        <v/>
      </c>
      <c r="R7" s="7" t="inlineStr">
        <is>
          <t>Ortalama maliyet stok tutarı / stok miktarıdır; çıkışlar önceki ortalama ile düşer.</t>
        </is>
      </c>
    </row>
    <row r="8">
      <c r="A8" s="7" t="n">
        <v>3</v>
      </c>
      <c r="B8" s="7" t="inlineStr">
        <is>
          <t>ET001</t>
        </is>
      </c>
      <c r="C8" s="7" t="inlineStr">
        <is>
          <t>Dana eti</t>
        </is>
      </c>
      <c r="D8" s="10" t="n">
        <v>46024.38541666666</v>
      </c>
      <c r="E8" s="7" t="inlineStr">
        <is>
          <t>Alış</t>
        </is>
      </c>
      <c r="F8" s="11" t="n">
        <v>20</v>
      </c>
      <c r="G8" s="12" t="n">
        <v>460</v>
      </c>
      <c r="H8" s="15">
        <f>IF($E8="Alış",$F8,0)</f>
        <v/>
      </c>
      <c r="I8" s="15">
        <f>IF($E8&lt;&gt;"Alış",$F8,0)</f>
        <v/>
      </c>
      <c r="J8" s="15">
        <f>IF($B8=$B7,$O7,0)</f>
        <v/>
      </c>
      <c r="K8" s="16">
        <f>IF($B8=$B7,$P7,0)</f>
        <v/>
      </c>
      <c r="L8" s="16">
        <f>IF($J8=0,0,$K8/$J8)</f>
        <v/>
      </c>
      <c r="M8" s="16">
        <f>$H8*$G8</f>
        <v/>
      </c>
      <c r="N8" s="16">
        <f>$I8*$L8</f>
        <v/>
      </c>
      <c r="O8" s="17">
        <f>$J8+$H8-$I8</f>
        <v/>
      </c>
      <c r="P8" s="18">
        <f>$K8+$M8-$N8</f>
        <v/>
      </c>
      <c r="Q8" s="18">
        <f>IF($O8=0,0,$P8/$O8)</f>
        <v/>
      </c>
      <c r="R8" s="7" t="inlineStr">
        <is>
          <t>Ortalama maliyet stok tutarı / stok miktarıdır; çıkışlar önceki ortalama ile düşer.</t>
        </is>
      </c>
    </row>
    <row r="9">
      <c r="A9" s="7" t="n">
        <v>4</v>
      </c>
      <c r="B9" s="7" t="inlineStr">
        <is>
          <t>ET001</t>
        </is>
      </c>
      <c r="C9" s="7" t="inlineStr">
        <is>
          <t>Dana eti</t>
        </is>
      </c>
      <c r="D9" s="10" t="n">
        <v>46024.79166666666</v>
      </c>
      <c r="E9" s="7" t="inlineStr">
        <is>
          <t>Tüketim</t>
        </is>
      </c>
      <c r="F9" s="11" t="n">
        <v>12</v>
      </c>
      <c r="G9" s="12" t="n"/>
      <c r="H9" s="15">
        <f>IF($E9="Alış",$F9,0)</f>
        <v/>
      </c>
      <c r="I9" s="15">
        <f>IF($E9&lt;&gt;"Alış",$F9,0)</f>
        <v/>
      </c>
      <c r="J9" s="15">
        <f>IF($B9=$B8,$O8,0)</f>
        <v/>
      </c>
      <c r="K9" s="16">
        <f>IF($B9=$B8,$P8,0)</f>
        <v/>
      </c>
      <c r="L9" s="16">
        <f>IF($J9=0,0,$K9/$J9)</f>
        <v/>
      </c>
      <c r="M9" s="16">
        <f>$H9*$G9</f>
        <v/>
      </c>
      <c r="N9" s="16">
        <f>$I9*$L9</f>
        <v/>
      </c>
      <c r="O9" s="17">
        <f>$J9+$H9-$I9</f>
        <v/>
      </c>
      <c r="P9" s="18">
        <f>$K9+$M9-$N9</f>
        <v/>
      </c>
      <c r="Q9" s="18">
        <f>IF($O9=0,0,$P9/$O9)</f>
        <v/>
      </c>
      <c r="R9" s="7" t="inlineStr">
        <is>
          <t>Ortalama maliyet stok tutarı / stok miktarıdır; çıkışlar önceki ortalama ile düşer.</t>
        </is>
      </c>
    </row>
    <row r="10">
      <c r="A10" s="7" t="n">
        <v>5</v>
      </c>
      <c r="B10" s="7" t="inlineStr">
        <is>
          <t>ET001</t>
        </is>
      </c>
      <c r="C10" s="7" t="inlineStr">
        <is>
          <t>Dana eti</t>
        </is>
      </c>
      <c r="D10" s="10" t="n">
        <v>46025.38888888889</v>
      </c>
      <c r="E10" s="7" t="inlineStr">
        <is>
          <t>Alış</t>
        </is>
      </c>
      <c r="F10" s="11" t="n">
        <v>15</v>
      </c>
      <c r="G10" s="12" t="n">
        <v>500</v>
      </c>
      <c r="H10" s="15">
        <f>IF($E10="Alış",$F10,0)</f>
        <v/>
      </c>
      <c r="I10" s="15">
        <f>IF($E10&lt;&gt;"Alış",$F10,0)</f>
        <v/>
      </c>
      <c r="J10" s="15">
        <f>IF($B10=$B9,$O9,0)</f>
        <v/>
      </c>
      <c r="K10" s="16">
        <f>IF($B10=$B9,$P9,0)</f>
        <v/>
      </c>
      <c r="L10" s="16">
        <f>IF($J10=0,0,$K10/$J10)</f>
        <v/>
      </c>
      <c r="M10" s="16">
        <f>$H10*$G10</f>
        <v/>
      </c>
      <c r="N10" s="16">
        <f>$I10*$L10</f>
        <v/>
      </c>
      <c r="O10" s="17">
        <f>$J10+$H10-$I10</f>
        <v/>
      </c>
      <c r="P10" s="18">
        <f>$K10+$M10-$N10</f>
        <v/>
      </c>
      <c r="Q10" s="18">
        <f>IF($O10=0,0,$P10/$O10)</f>
        <v/>
      </c>
      <c r="R10" s="7" t="inlineStr">
        <is>
          <t>Ortalama maliyet stok tutarı / stok miktarıdır; çıkışlar önceki ortalama ile düşer.</t>
        </is>
      </c>
    </row>
    <row r="11">
      <c r="A11" s="7" t="n">
        <v>6</v>
      </c>
      <c r="B11" s="7" t="inlineStr">
        <is>
          <t>ET001</t>
        </is>
      </c>
      <c r="C11" s="7" t="inlineStr">
        <is>
          <t>Dana eti</t>
        </is>
      </c>
      <c r="D11" s="10" t="n">
        <v>46025.88194444445</v>
      </c>
      <c r="E11" s="7" t="inlineStr">
        <is>
          <t>Tüketim</t>
        </is>
      </c>
      <c r="F11" s="11" t="n">
        <v>18</v>
      </c>
      <c r="G11" s="12" t="n"/>
      <c r="H11" s="15">
        <f>IF($E11="Alış",$F11,0)</f>
        <v/>
      </c>
      <c r="I11" s="15">
        <f>IF($E11&lt;&gt;"Alış",$F11,0)</f>
        <v/>
      </c>
      <c r="J11" s="15">
        <f>IF($B11=$B10,$O10,0)</f>
        <v/>
      </c>
      <c r="K11" s="16">
        <f>IF($B11=$B10,$P10,0)</f>
        <v/>
      </c>
      <c r="L11" s="16">
        <f>IF($J11=0,0,$K11/$J11)</f>
        <v/>
      </c>
      <c r="M11" s="16">
        <f>$H11*$G11</f>
        <v/>
      </c>
      <c r="N11" s="16">
        <f>$I11*$L11</f>
        <v/>
      </c>
      <c r="O11" s="17">
        <f>$J11+$H11-$I11</f>
        <v/>
      </c>
      <c r="P11" s="18">
        <f>$K11+$M11-$N11</f>
        <v/>
      </c>
      <c r="Q11" s="18">
        <f>IF($O11=0,0,$P11/$O11)</f>
        <v/>
      </c>
      <c r="R11" s="7" t="inlineStr">
        <is>
          <t>Ortalama maliyet stok tutarı / stok miktarıdır; çıkışlar önceki ortalama ile düşer.</t>
        </is>
      </c>
    </row>
    <row r="12">
      <c r="A12" s="7" t="n">
        <v>7</v>
      </c>
      <c r="B12" s="7" t="inlineStr">
        <is>
          <t>ET001</t>
        </is>
      </c>
      <c r="C12" s="7" t="inlineStr">
        <is>
          <t>Dana eti</t>
        </is>
      </c>
      <c r="D12" s="10" t="n">
        <v>46026.45833333334</v>
      </c>
      <c r="E12" s="7" t="inlineStr">
        <is>
          <t>Fire</t>
        </is>
      </c>
      <c r="F12" s="11" t="n">
        <v>1</v>
      </c>
      <c r="G12" s="12" t="n"/>
      <c r="H12" s="15">
        <f>IF($E12="Alış",$F12,0)</f>
        <v/>
      </c>
      <c r="I12" s="15">
        <f>IF($E12&lt;&gt;"Alış",$F12,0)</f>
        <v/>
      </c>
      <c r="J12" s="15">
        <f>IF($B12=$B11,$O11,0)</f>
        <v/>
      </c>
      <c r="K12" s="16">
        <f>IF($B12=$B11,$P11,0)</f>
        <v/>
      </c>
      <c r="L12" s="16">
        <f>IF($J12=0,0,$K12/$J12)</f>
        <v/>
      </c>
      <c r="M12" s="16">
        <f>$H12*$G12</f>
        <v/>
      </c>
      <c r="N12" s="16">
        <f>$I12*$L12</f>
        <v/>
      </c>
      <c r="O12" s="17">
        <f>$J12+$H12-$I12</f>
        <v/>
      </c>
      <c r="P12" s="18">
        <f>$K12+$M12-$N12</f>
        <v/>
      </c>
      <c r="Q12" s="18">
        <f>IF($O12=0,0,$P12/$O12)</f>
        <v/>
      </c>
      <c r="R12" s="7" t="inlineStr">
        <is>
          <t>Ortalama maliyet stok tutarı / stok miktarıdır; çıkışlar önceki ortalama ile düşer.</t>
        </is>
      </c>
    </row>
    <row r="13">
      <c r="A13" s="7" t="n">
        <v>8</v>
      </c>
      <c r="B13" s="7" t="inlineStr">
        <is>
          <t>UN001</t>
        </is>
      </c>
      <c r="C13" s="7" t="inlineStr">
        <is>
          <t>Un</t>
        </is>
      </c>
      <c r="D13" s="10" t="n">
        <v>46023.3125</v>
      </c>
      <c r="E13" s="7" t="inlineStr">
        <is>
          <t>Alış</t>
        </is>
      </c>
      <c r="F13" s="11" t="n">
        <v>50</v>
      </c>
      <c r="G13" s="12" t="n">
        <v>18</v>
      </c>
      <c r="H13" s="15">
        <f>IF($E13="Alış",$F13,0)</f>
        <v/>
      </c>
      <c r="I13" s="15">
        <f>IF($E13&lt;&gt;"Alış",$F13,0)</f>
        <v/>
      </c>
      <c r="J13" s="15">
        <f>IF($B13=$B12,$O12,0)</f>
        <v/>
      </c>
      <c r="K13" s="16">
        <f>IF($B13=$B12,$P12,0)</f>
        <v/>
      </c>
      <c r="L13" s="16">
        <f>IF($J13=0,0,$K13/$J13)</f>
        <v/>
      </c>
      <c r="M13" s="16">
        <f>$H13*$G13</f>
        <v/>
      </c>
      <c r="N13" s="16">
        <f>$I13*$L13</f>
        <v/>
      </c>
      <c r="O13" s="17">
        <f>$J13+$H13-$I13</f>
        <v/>
      </c>
      <c r="P13" s="18">
        <f>$K13+$M13-$N13</f>
        <v/>
      </c>
      <c r="Q13" s="18">
        <f>IF($O13=0,0,$P13/$O13)</f>
        <v/>
      </c>
      <c r="R13" s="7" t="inlineStr">
        <is>
          <t>Ortalama maliyet stok tutarı / stok miktarıdır; çıkışlar önceki ortalama ile düşer.</t>
        </is>
      </c>
    </row>
    <row r="14">
      <c r="A14" s="7" t="n">
        <v>9</v>
      </c>
      <c r="B14" s="7" t="inlineStr">
        <is>
          <t>UN001</t>
        </is>
      </c>
      <c r="C14" s="7" t="inlineStr">
        <is>
          <t>Un</t>
        </is>
      </c>
      <c r="D14" s="10" t="n">
        <v>46023.83333333334</v>
      </c>
      <c r="E14" s="7" t="inlineStr">
        <is>
          <t>Tüketim</t>
        </is>
      </c>
      <c r="F14" s="11" t="n">
        <v>12</v>
      </c>
      <c r="G14" s="12" t="n"/>
      <c r="H14" s="15">
        <f>IF($E14="Alış",$F14,0)</f>
        <v/>
      </c>
      <c r="I14" s="15">
        <f>IF($E14&lt;&gt;"Alış",$F14,0)</f>
        <v/>
      </c>
      <c r="J14" s="15">
        <f>IF($B14=$B13,$O13,0)</f>
        <v/>
      </c>
      <c r="K14" s="16">
        <f>IF($B14=$B13,$P13,0)</f>
        <v/>
      </c>
      <c r="L14" s="16">
        <f>IF($J14=0,0,$K14/$J14)</f>
        <v/>
      </c>
      <c r="M14" s="16">
        <f>$H14*$G14</f>
        <v/>
      </c>
      <c r="N14" s="16">
        <f>$I14*$L14</f>
        <v/>
      </c>
      <c r="O14" s="17">
        <f>$J14+$H14-$I14</f>
        <v/>
      </c>
      <c r="P14" s="18">
        <f>$K14+$M14-$N14</f>
        <v/>
      </c>
      <c r="Q14" s="18">
        <f>IF($O14=0,0,$P14/$O14)</f>
        <v/>
      </c>
      <c r="R14" s="7" t="inlineStr">
        <is>
          <t>Ortalama maliyet stok tutarı / stok miktarıdır; çıkışlar önceki ortalama ile düşer.</t>
        </is>
      </c>
    </row>
    <row r="15">
      <c r="A15" s="7" t="n">
        <v>10</v>
      </c>
      <c r="B15" s="7" t="inlineStr">
        <is>
          <t>UN001</t>
        </is>
      </c>
      <c r="C15" s="7" t="inlineStr">
        <is>
          <t>Un</t>
        </is>
      </c>
      <c r="D15" s="10" t="n">
        <v>46024.31944444445</v>
      </c>
      <c r="E15" s="7" t="inlineStr">
        <is>
          <t>Alış</t>
        </is>
      </c>
      <c r="F15" s="11" t="n">
        <v>60</v>
      </c>
      <c r="G15" s="12" t="n">
        <v>21</v>
      </c>
      <c r="H15" s="15">
        <f>IF($E15="Alış",$F15,0)</f>
        <v/>
      </c>
      <c r="I15" s="15">
        <f>IF($E15&lt;&gt;"Alış",$F15,0)</f>
        <v/>
      </c>
      <c r="J15" s="15">
        <f>IF($B15=$B14,$O14,0)</f>
        <v/>
      </c>
      <c r="K15" s="16">
        <f>IF($B15=$B14,$P14,0)</f>
        <v/>
      </c>
      <c r="L15" s="16">
        <f>IF($J15=0,0,$K15/$J15)</f>
        <v/>
      </c>
      <c r="M15" s="16">
        <f>$H15*$G15</f>
        <v/>
      </c>
      <c r="N15" s="16">
        <f>$I15*$L15</f>
        <v/>
      </c>
      <c r="O15" s="17">
        <f>$J15+$H15-$I15</f>
        <v/>
      </c>
      <c r="P15" s="18">
        <f>$K15+$M15-$N15</f>
        <v/>
      </c>
      <c r="Q15" s="18">
        <f>IF($O15=0,0,$P15/$O15)</f>
        <v/>
      </c>
      <c r="R15" s="7" t="inlineStr">
        <is>
          <t>Ortalama maliyet stok tutarı / stok miktarıdır; çıkışlar önceki ortalama ile düşer.</t>
        </is>
      </c>
    </row>
    <row r="16">
      <c r="A16" s="7" t="n">
        <v>11</v>
      </c>
      <c r="B16" s="7" t="inlineStr">
        <is>
          <t>UN001</t>
        </is>
      </c>
      <c r="C16" s="7" t="inlineStr">
        <is>
          <t>Un</t>
        </is>
      </c>
      <c r="D16" s="10" t="n">
        <v>46024.875</v>
      </c>
      <c r="E16" s="7" t="inlineStr">
        <is>
          <t>Tüketim</t>
        </is>
      </c>
      <c r="F16" s="11" t="n">
        <v>40</v>
      </c>
      <c r="G16" s="12" t="n"/>
      <c r="H16" s="15">
        <f>IF($E16="Alış",$F16,0)</f>
        <v/>
      </c>
      <c r="I16" s="15">
        <f>IF($E16&lt;&gt;"Alış",$F16,0)</f>
        <v/>
      </c>
      <c r="J16" s="15">
        <f>IF($B16=$B15,$O15,0)</f>
        <v/>
      </c>
      <c r="K16" s="16">
        <f>IF($B16=$B15,$P15,0)</f>
        <v/>
      </c>
      <c r="L16" s="16">
        <f>IF($J16=0,0,$K16/$J16)</f>
        <v/>
      </c>
      <c r="M16" s="16">
        <f>$H16*$G16</f>
        <v/>
      </c>
      <c r="N16" s="16">
        <f>$I16*$L16</f>
        <v/>
      </c>
      <c r="O16" s="17">
        <f>$J16+$H16-$I16</f>
        <v/>
      </c>
      <c r="P16" s="18">
        <f>$K16+$M16-$N16</f>
        <v/>
      </c>
      <c r="Q16" s="18">
        <f>IF($O16=0,0,$P16/$O16)</f>
        <v/>
      </c>
      <c r="R16" s="7" t="inlineStr">
        <is>
          <t>Ortalama maliyet stok tutarı / stok miktarıdır; çıkışlar önceki ortalama ile düşer.</t>
        </is>
      </c>
    </row>
    <row r="17">
      <c r="A17" s="7" t="n">
        <v>12</v>
      </c>
      <c r="B17" s="7" t="inlineStr">
        <is>
          <t>UN001</t>
        </is>
      </c>
      <c r="C17" s="7" t="inlineStr">
        <is>
          <t>Un</t>
        </is>
      </c>
      <c r="D17" s="10" t="n">
        <v>46025.34027777778</v>
      </c>
      <c r="E17" s="7" t="inlineStr">
        <is>
          <t>Alış</t>
        </is>
      </c>
      <c r="F17" s="11" t="n">
        <v>40</v>
      </c>
      <c r="G17" s="12" t="n">
        <v>24</v>
      </c>
      <c r="H17" s="15">
        <f>IF($E17="Alış",$F17,0)</f>
        <v/>
      </c>
      <c r="I17" s="15">
        <f>IF($E17&lt;&gt;"Alış",$F17,0)</f>
        <v/>
      </c>
      <c r="J17" s="15">
        <f>IF($B17=$B16,$O16,0)</f>
        <v/>
      </c>
      <c r="K17" s="16">
        <f>IF($B17=$B16,$P16,0)</f>
        <v/>
      </c>
      <c r="L17" s="16">
        <f>IF($J17=0,0,$K17/$J17)</f>
        <v/>
      </c>
      <c r="M17" s="16">
        <f>$H17*$G17</f>
        <v/>
      </c>
      <c r="N17" s="16">
        <f>$I17*$L17</f>
        <v/>
      </c>
      <c r="O17" s="17">
        <f>$J17+$H17-$I17</f>
        <v/>
      </c>
      <c r="P17" s="18">
        <f>$K17+$M17-$N17</f>
        <v/>
      </c>
      <c r="Q17" s="18">
        <f>IF($O17=0,0,$P17/$O17)</f>
        <v/>
      </c>
      <c r="R17" s="7" t="inlineStr">
        <is>
          <t>Ortalama maliyet stok tutarı / stok miktarıdır; çıkışlar önceki ortalama ile düşer.</t>
        </is>
      </c>
    </row>
    <row r="18">
      <c r="A18" s="7" t="n">
        <v>13</v>
      </c>
      <c r="B18" s="7" t="inlineStr">
        <is>
          <t>UN001</t>
        </is>
      </c>
      <c r="C18" s="7" t="inlineStr">
        <is>
          <t>Un</t>
        </is>
      </c>
      <c r="D18" s="10" t="n">
        <v>46026.85416666666</v>
      </c>
      <c r="E18" s="7" t="inlineStr">
        <is>
          <t>Tüketim</t>
        </is>
      </c>
      <c r="F18" s="11" t="n">
        <v>55</v>
      </c>
      <c r="G18" s="12" t="n"/>
      <c r="H18" s="15">
        <f>IF($E18="Alış",$F18,0)</f>
        <v/>
      </c>
      <c r="I18" s="15">
        <f>IF($E18&lt;&gt;"Alış",$F18,0)</f>
        <v/>
      </c>
      <c r="J18" s="15">
        <f>IF($B18=$B17,$O17,0)</f>
        <v/>
      </c>
      <c r="K18" s="16">
        <f>IF($B18=$B17,$P17,0)</f>
        <v/>
      </c>
      <c r="L18" s="16">
        <f>IF($J18=0,0,$K18/$J18)</f>
        <v/>
      </c>
      <c r="M18" s="16">
        <f>$H18*$G18</f>
        <v/>
      </c>
      <c r="N18" s="16">
        <f>$I18*$L18</f>
        <v/>
      </c>
      <c r="O18" s="17">
        <f>$J18+$H18-$I18</f>
        <v/>
      </c>
      <c r="P18" s="18">
        <f>$K18+$M18-$N18</f>
        <v/>
      </c>
      <c r="Q18" s="18">
        <f>IF($O18=0,0,$P18/$O18)</f>
        <v/>
      </c>
      <c r="R18" s="7" t="inlineStr">
        <is>
          <t>Ortalama maliyet stok tutarı / stok miktarıdır; çıkışlar önceki ortalama ile düşer.</t>
        </is>
      </c>
    </row>
    <row r="19">
      <c r="A19" s="7" t="n">
        <v>14</v>
      </c>
      <c r="B19" s="7" t="inlineStr">
        <is>
          <t>UN001</t>
        </is>
      </c>
      <c r="C19" s="7" t="inlineStr">
        <is>
          <t>Un</t>
        </is>
      </c>
      <c r="D19" s="10" t="n">
        <v>46027.41666666666</v>
      </c>
      <c r="E19" s="7" t="inlineStr">
        <is>
          <t>Fire</t>
        </is>
      </c>
      <c r="F19" s="11" t="n">
        <v>2</v>
      </c>
      <c r="G19" s="12" t="n"/>
      <c r="H19" s="15">
        <f>IF($E19="Alış",$F19,0)</f>
        <v/>
      </c>
      <c r="I19" s="15">
        <f>IF($E19&lt;&gt;"Alış",$F19,0)</f>
        <v/>
      </c>
      <c r="J19" s="15">
        <f>IF($B19=$B18,$O18,0)</f>
        <v/>
      </c>
      <c r="K19" s="16">
        <f>IF($B19=$B18,$P18,0)</f>
        <v/>
      </c>
      <c r="L19" s="16">
        <f>IF($J19=0,0,$K19/$J19)</f>
        <v/>
      </c>
      <c r="M19" s="16">
        <f>$H19*$G19</f>
        <v/>
      </c>
      <c r="N19" s="16">
        <f>$I19*$L19</f>
        <v/>
      </c>
      <c r="O19" s="17">
        <f>$J19+$H19-$I19</f>
        <v/>
      </c>
      <c r="P19" s="18">
        <f>$K19+$M19-$N19</f>
        <v/>
      </c>
      <c r="Q19" s="18">
        <f>IF($O19=0,0,$P19/$O19)</f>
        <v/>
      </c>
      <c r="R19" s="7" t="inlineStr">
        <is>
          <t>Ortalama maliyet stok tutarı / stok miktarıdır; çıkışlar önceki ortalama ile düşer.</t>
        </is>
      </c>
    </row>
    <row r="21">
      <c r="A21" s="8" t="inlineStr">
        <is>
          <t>Hazırlanma tarihi: 2026-06-11 | Not: Formüller İngilizce Excel fonksiyon adlarıyla yazılır; Türkçe Excel arayüzünde yerel adlarla görüntülenebilir.</t>
        </is>
      </c>
    </row>
  </sheetData>
  <autoFilter ref="A5:R19"/>
  <mergeCells count="1">
    <mergeCell ref="A3:R3"/>
  </mergeCells>
  <conditionalFormatting sqref="O6:O19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8" customWidth="1" min="4" max="4"/>
    <col width="13" customWidth="1" min="5" max="5"/>
    <col width="10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4" customWidth="1" min="16" max="16"/>
    <col width="18" customWidth="1" min="17" max="17"/>
    <col width="46" customWidth="1" min="18" max="18"/>
  </cols>
  <sheetData>
    <row r="1" ht="30" customHeight="1">
      <c r="A1" s="1" t="inlineStr">
        <is>
          <t>FIFO - İlk Giren İlk Çıkar</t>
        </is>
      </c>
    </row>
    <row r="2" ht="38" customHeight="1">
      <c r="A2" s="2" t="inlineStr">
        <is>
          <t>Her alış bir maliyet katmanıdır. Çıkış maliyeti, tüketim aralığının alış katmanlarıyla kesişimine göre hesaplanır.</t>
        </is>
      </c>
    </row>
    <row r="3">
      <c r="A3" s="14" t="inlineStr">
        <is>
          <t>Büyük veri formülü: KullanılanMiktar=max(0,min(ÇıkışSonrası,LotEnd)-max(ÇıkışÖncesi,LotStart)).</t>
        </is>
      </c>
    </row>
    <row r="5" ht="34" customHeight="1">
      <c r="A5" s="5" t="inlineStr">
        <is>
          <t>HareketID</t>
        </is>
      </c>
      <c r="B5" s="5" t="inlineStr">
        <is>
          <t>MalzemeID</t>
        </is>
      </c>
      <c r="C5" s="5" t="inlineStr">
        <is>
          <t>Malzeme</t>
        </is>
      </c>
      <c r="D5" s="5" t="inlineStr">
        <is>
          <t>TarihSaat</t>
        </is>
      </c>
      <c r="E5" s="5" t="inlineStr">
        <is>
          <t>HareketTipi</t>
        </is>
      </c>
      <c r="F5" s="5" t="inlineStr">
        <is>
          <t>Miktar</t>
        </is>
      </c>
      <c r="G5" s="5" t="inlineStr">
        <is>
          <t>AlışBirimFiyat</t>
        </is>
      </c>
      <c r="H5" s="5" t="inlineStr">
        <is>
          <t>GirişMiktar</t>
        </is>
      </c>
      <c r="I5" s="5" t="inlineStr">
        <is>
          <t>ÇıkışMiktar</t>
        </is>
      </c>
      <c r="J5" s="5" t="inlineStr">
        <is>
          <t>Küm.GirişÖncesi</t>
        </is>
      </c>
      <c r="K5" s="5" t="inlineStr">
        <is>
          <t>Küm.GirişSonrası</t>
        </is>
      </c>
      <c r="L5" s="5" t="inlineStr">
        <is>
          <t>Küm.ÇıkışÖncesi</t>
        </is>
      </c>
      <c r="M5" s="5" t="inlineStr">
        <is>
          <t>Küm.ÇıkışSonrası</t>
        </is>
      </c>
      <c r="N5" s="5" t="inlineStr">
        <is>
          <t>FIFOÇıkışMaliyeti</t>
        </is>
      </c>
      <c r="O5" s="5" t="inlineStr">
        <is>
          <t>StokMiktarı</t>
        </is>
      </c>
      <c r="P5" s="5" t="inlineStr">
        <is>
          <t>FIFOStokTutarı</t>
        </is>
      </c>
      <c r="Q5" s="5" t="inlineStr">
        <is>
          <t>FIFOStokBirimMaliyeti</t>
        </is>
      </c>
      <c r="R5" s="5" t="inlineStr">
        <is>
          <t>Formül mantığı</t>
        </is>
      </c>
    </row>
    <row r="6">
      <c r="A6" s="7" t="n">
        <v>1</v>
      </c>
      <c r="B6" s="7" t="inlineStr">
        <is>
          <t>ET001</t>
        </is>
      </c>
      <c r="C6" s="7" t="inlineStr">
        <is>
          <t>Dana eti</t>
        </is>
      </c>
      <c r="D6" s="10" t="n">
        <v>46023.33333333334</v>
      </c>
      <c r="E6" s="7" t="inlineStr">
        <is>
          <t>Alış</t>
        </is>
      </c>
      <c r="F6" s="11" t="n">
        <v>10</v>
      </c>
      <c r="G6" s="12" t="n">
        <v>400</v>
      </c>
      <c r="H6" s="15">
        <f>IF($E6="Alış",$F6,0)</f>
        <v/>
      </c>
      <c r="I6" s="15">
        <f>IF($E6&lt;&gt;"Alış",$F6,0)</f>
        <v/>
      </c>
      <c r="J6" s="15">
        <f>IF($B6=$B5,$K5,0)</f>
        <v/>
      </c>
      <c r="K6" s="15">
        <f>$J6+$H6</f>
        <v/>
      </c>
      <c r="L6" s="15">
        <f>IF($B6=$B5,$M5,0)</f>
        <v/>
      </c>
      <c r="M6" s="15">
        <f>$L6+$I6</f>
        <v/>
      </c>
      <c r="N6" s="18">
        <f>IF($I6=0,0,SUMPRODUCT(($B$6:$B6=$B6)*($H$6:$H6&gt;0)*($G$6:$G6)*(IF($K$6:$K6&lt;$M6,$K$6:$K6,$M6)-IF($J$6:$J6&gt;$L6,$J$6:$J6,$L6))*--((IF($K$6:$K6&lt;$M6,$K$6:$K6,$M6)-IF($J$6:$J6&gt;$L6,$J$6:$J6,$L6))&gt;0)))</f>
        <v/>
      </c>
      <c r="O6" s="17">
        <f>IF($B6=$B5,$O5,0)+$H6-$I6</f>
        <v/>
      </c>
      <c r="P6" s="18">
        <f>IF($B6=$B5,$P5,0)+$H6*$G6-$N6</f>
        <v/>
      </c>
      <c r="Q6" s="18">
        <f>IF($O6=0,0,$P6/$O6)</f>
        <v/>
      </c>
      <c r="R6" s="7" t="inlineStr">
        <is>
          <t>FIFO maliyeti, çıkışın kümülatif tüketim aralığı ile alış katmanlarının kümülatif giriş aralığı kesiştirilerek bulunur.</t>
        </is>
      </c>
    </row>
    <row r="7">
      <c r="A7" s="7" t="n">
        <v>2</v>
      </c>
      <c r="B7" s="7" t="inlineStr">
        <is>
          <t>ET001</t>
        </is>
      </c>
      <c r="C7" s="7" t="inlineStr">
        <is>
          <t>Dana eti</t>
        </is>
      </c>
      <c r="D7" s="10" t="n">
        <v>46023.77083333334</v>
      </c>
      <c r="E7" s="7" t="inlineStr">
        <is>
          <t>Tüketim</t>
        </is>
      </c>
      <c r="F7" s="11" t="n">
        <v>3</v>
      </c>
      <c r="G7" s="12" t="n"/>
      <c r="H7" s="15">
        <f>IF($E7="Alış",$F7,0)</f>
        <v/>
      </c>
      <c r="I7" s="15">
        <f>IF($E7&lt;&gt;"Alış",$F7,0)</f>
        <v/>
      </c>
      <c r="J7" s="15">
        <f>IF($B7=$B6,$K6,0)</f>
        <v/>
      </c>
      <c r="K7" s="15">
        <f>$J7+$H7</f>
        <v/>
      </c>
      <c r="L7" s="15">
        <f>IF($B7=$B6,$M6,0)</f>
        <v/>
      </c>
      <c r="M7" s="15">
        <f>$L7+$I7</f>
        <v/>
      </c>
      <c r="N7" s="18">
        <f>IF($I7=0,0,SUMPRODUCT(($B$6:$B7=$B7)*($H$6:$H7&gt;0)*($G$6:$G7)*(IF($K$6:$K7&lt;$M7,$K$6:$K7,$M7)-IF($J$6:$J7&gt;$L7,$J$6:$J7,$L7))*--((IF($K$6:$K7&lt;$M7,$K$6:$K7,$M7)-IF($J$6:$J7&gt;$L7,$J$6:$J7,$L7))&gt;0)))</f>
        <v/>
      </c>
      <c r="O7" s="17">
        <f>IF($B7=$B6,$O6,0)+$H7-$I7</f>
        <v/>
      </c>
      <c r="P7" s="18">
        <f>IF($B7=$B6,$P6,0)+$H7*$G7-$N7</f>
        <v/>
      </c>
      <c r="Q7" s="18">
        <f>IF($O7=0,0,$P7/$O7)</f>
        <v/>
      </c>
      <c r="R7" s="7" t="inlineStr">
        <is>
          <t>FIFO maliyeti, çıkışın kümülatif tüketim aralığı ile alış katmanlarının kümülatif giriş aralığı kesiştirilerek bulunur.</t>
        </is>
      </c>
    </row>
    <row r="8">
      <c r="A8" s="7" t="n">
        <v>3</v>
      </c>
      <c r="B8" s="7" t="inlineStr">
        <is>
          <t>ET001</t>
        </is>
      </c>
      <c r="C8" s="7" t="inlineStr">
        <is>
          <t>Dana eti</t>
        </is>
      </c>
      <c r="D8" s="10" t="n">
        <v>46024.38541666666</v>
      </c>
      <c r="E8" s="7" t="inlineStr">
        <is>
          <t>Alış</t>
        </is>
      </c>
      <c r="F8" s="11" t="n">
        <v>20</v>
      </c>
      <c r="G8" s="12" t="n">
        <v>460</v>
      </c>
      <c r="H8" s="15">
        <f>IF($E8="Alış",$F8,0)</f>
        <v/>
      </c>
      <c r="I8" s="15">
        <f>IF($E8&lt;&gt;"Alış",$F8,0)</f>
        <v/>
      </c>
      <c r="J8" s="15">
        <f>IF($B8=$B7,$K7,0)</f>
        <v/>
      </c>
      <c r="K8" s="15">
        <f>$J8+$H8</f>
        <v/>
      </c>
      <c r="L8" s="15">
        <f>IF($B8=$B7,$M7,0)</f>
        <v/>
      </c>
      <c r="M8" s="15">
        <f>$L8+$I8</f>
        <v/>
      </c>
      <c r="N8" s="18">
        <f>IF($I8=0,0,SUMPRODUCT(($B$6:$B8=$B8)*($H$6:$H8&gt;0)*($G$6:$G8)*(IF($K$6:$K8&lt;$M8,$K$6:$K8,$M8)-IF($J$6:$J8&gt;$L8,$J$6:$J8,$L8))*--((IF($K$6:$K8&lt;$M8,$K$6:$K8,$M8)-IF($J$6:$J8&gt;$L8,$J$6:$J8,$L8))&gt;0)))</f>
        <v/>
      </c>
      <c r="O8" s="17">
        <f>IF($B8=$B7,$O7,0)+$H8-$I8</f>
        <v/>
      </c>
      <c r="P8" s="18">
        <f>IF($B8=$B7,$P7,0)+$H8*$G8-$N8</f>
        <v/>
      </c>
      <c r="Q8" s="18">
        <f>IF($O8=0,0,$P8/$O8)</f>
        <v/>
      </c>
      <c r="R8" s="7" t="inlineStr">
        <is>
          <t>FIFO maliyeti, çıkışın kümülatif tüketim aralığı ile alış katmanlarının kümülatif giriş aralığı kesiştirilerek bulunur.</t>
        </is>
      </c>
    </row>
    <row r="9">
      <c r="A9" s="7" t="n">
        <v>4</v>
      </c>
      <c r="B9" s="7" t="inlineStr">
        <is>
          <t>ET001</t>
        </is>
      </c>
      <c r="C9" s="7" t="inlineStr">
        <is>
          <t>Dana eti</t>
        </is>
      </c>
      <c r="D9" s="10" t="n">
        <v>46024.79166666666</v>
      </c>
      <c r="E9" s="7" t="inlineStr">
        <is>
          <t>Tüketim</t>
        </is>
      </c>
      <c r="F9" s="11" t="n">
        <v>12</v>
      </c>
      <c r="G9" s="12" t="n"/>
      <c r="H9" s="15">
        <f>IF($E9="Alış",$F9,0)</f>
        <v/>
      </c>
      <c r="I9" s="15">
        <f>IF($E9&lt;&gt;"Alış",$F9,0)</f>
        <v/>
      </c>
      <c r="J9" s="15">
        <f>IF($B9=$B8,$K8,0)</f>
        <v/>
      </c>
      <c r="K9" s="15">
        <f>$J9+$H9</f>
        <v/>
      </c>
      <c r="L9" s="15">
        <f>IF($B9=$B8,$M8,0)</f>
        <v/>
      </c>
      <c r="M9" s="15">
        <f>$L9+$I9</f>
        <v/>
      </c>
      <c r="N9" s="18">
        <f>IF($I9=0,0,SUMPRODUCT(($B$6:$B9=$B9)*($H$6:$H9&gt;0)*($G$6:$G9)*(IF($K$6:$K9&lt;$M9,$K$6:$K9,$M9)-IF($J$6:$J9&gt;$L9,$J$6:$J9,$L9))*--((IF($K$6:$K9&lt;$M9,$K$6:$K9,$M9)-IF($J$6:$J9&gt;$L9,$J$6:$J9,$L9))&gt;0)))</f>
        <v/>
      </c>
      <c r="O9" s="17">
        <f>IF($B9=$B8,$O8,0)+$H9-$I9</f>
        <v/>
      </c>
      <c r="P9" s="18">
        <f>IF($B9=$B8,$P8,0)+$H9*$G9-$N9</f>
        <v/>
      </c>
      <c r="Q9" s="18">
        <f>IF($O9=0,0,$P9/$O9)</f>
        <v/>
      </c>
      <c r="R9" s="7" t="inlineStr">
        <is>
          <t>FIFO maliyeti, çıkışın kümülatif tüketim aralığı ile alış katmanlarının kümülatif giriş aralığı kesiştirilerek bulunur.</t>
        </is>
      </c>
    </row>
    <row r="10">
      <c r="A10" s="7" t="n">
        <v>5</v>
      </c>
      <c r="B10" s="7" t="inlineStr">
        <is>
          <t>ET001</t>
        </is>
      </c>
      <c r="C10" s="7" t="inlineStr">
        <is>
          <t>Dana eti</t>
        </is>
      </c>
      <c r="D10" s="10" t="n">
        <v>46025.38888888889</v>
      </c>
      <c r="E10" s="7" t="inlineStr">
        <is>
          <t>Alış</t>
        </is>
      </c>
      <c r="F10" s="11" t="n">
        <v>15</v>
      </c>
      <c r="G10" s="12" t="n">
        <v>500</v>
      </c>
      <c r="H10" s="15">
        <f>IF($E10="Alış",$F10,0)</f>
        <v/>
      </c>
      <c r="I10" s="15">
        <f>IF($E10&lt;&gt;"Alış",$F10,0)</f>
        <v/>
      </c>
      <c r="J10" s="15">
        <f>IF($B10=$B9,$K9,0)</f>
        <v/>
      </c>
      <c r="K10" s="15">
        <f>$J10+$H10</f>
        <v/>
      </c>
      <c r="L10" s="15">
        <f>IF($B10=$B9,$M9,0)</f>
        <v/>
      </c>
      <c r="M10" s="15">
        <f>$L10+$I10</f>
        <v/>
      </c>
      <c r="N10" s="18">
        <f>IF($I10=0,0,SUMPRODUCT(($B$6:$B10=$B10)*($H$6:$H10&gt;0)*($G$6:$G10)*(IF($K$6:$K10&lt;$M10,$K$6:$K10,$M10)-IF($J$6:$J10&gt;$L10,$J$6:$J10,$L10))*--((IF($K$6:$K10&lt;$M10,$K$6:$K10,$M10)-IF($J$6:$J10&gt;$L10,$J$6:$J10,$L10))&gt;0)))</f>
        <v/>
      </c>
      <c r="O10" s="17">
        <f>IF($B10=$B9,$O9,0)+$H10-$I10</f>
        <v/>
      </c>
      <c r="P10" s="18">
        <f>IF($B10=$B9,$P9,0)+$H10*$G10-$N10</f>
        <v/>
      </c>
      <c r="Q10" s="18">
        <f>IF($O10=0,0,$P10/$O10)</f>
        <v/>
      </c>
      <c r="R10" s="7" t="inlineStr">
        <is>
          <t>FIFO maliyeti, çıkışın kümülatif tüketim aralığı ile alış katmanlarının kümülatif giriş aralığı kesiştirilerek bulunur.</t>
        </is>
      </c>
    </row>
    <row r="11">
      <c r="A11" s="7" t="n">
        <v>6</v>
      </c>
      <c r="B11" s="7" t="inlineStr">
        <is>
          <t>ET001</t>
        </is>
      </c>
      <c r="C11" s="7" t="inlineStr">
        <is>
          <t>Dana eti</t>
        </is>
      </c>
      <c r="D11" s="10" t="n">
        <v>46025.88194444445</v>
      </c>
      <c r="E11" s="7" t="inlineStr">
        <is>
          <t>Tüketim</t>
        </is>
      </c>
      <c r="F11" s="11" t="n">
        <v>18</v>
      </c>
      <c r="G11" s="12" t="n"/>
      <c r="H11" s="15">
        <f>IF($E11="Alış",$F11,0)</f>
        <v/>
      </c>
      <c r="I11" s="15">
        <f>IF($E11&lt;&gt;"Alış",$F11,0)</f>
        <v/>
      </c>
      <c r="J11" s="15">
        <f>IF($B11=$B10,$K10,0)</f>
        <v/>
      </c>
      <c r="K11" s="15">
        <f>$J11+$H11</f>
        <v/>
      </c>
      <c r="L11" s="15">
        <f>IF($B11=$B10,$M10,0)</f>
        <v/>
      </c>
      <c r="M11" s="15">
        <f>$L11+$I11</f>
        <v/>
      </c>
      <c r="N11" s="18">
        <f>IF($I11=0,0,SUMPRODUCT(($B$6:$B11=$B11)*($H$6:$H11&gt;0)*($G$6:$G11)*(IF($K$6:$K11&lt;$M11,$K$6:$K11,$M11)-IF($J$6:$J11&gt;$L11,$J$6:$J11,$L11))*--((IF($K$6:$K11&lt;$M11,$K$6:$K11,$M11)-IF($J$6:$J11&gt;$L11,$J$6:$J11,$L11))&gt;0)))</f>
        <v/>
      </c>
      <c r="O11" s="17">
        <f>IF($B11=$B10,$O10,0)+$H11-$I11</f>
        <v/>
      </c>
      <c r="P11" s="18">
        <f>IF($B11=$B10,$P10,0)+$H11*$G11-$N11</f>
        <v/>
      </c>
      <c r="Q11" s="18">
        <f>IF($O11=0,0,$P11/$O11)</f>
        <v/>
      </c>
      <c r="R11" s="7" t="inlineStr">
        <is>
          <t>FIFO maliyeti, çıkışın kümülatif tüketim aralığı ile alış katmanlarının kümülatif giriş aralığı kesiştirilerek bulunur.</t>
        </is>
      </c>
    </row>
    <row r="12">
      <c r="A12" s="7" t="n">
        <v>7</v>
      </c>
      <c r="B12" s="7" t="inlineStr">
        <is>
          <t>ET001</t>
        </is>
      </c>
      <c r="C12" s="7" t="inlineStr">
        <is>
          <t>Dana eti</t>
        </is>
      </c>
      <c r="D12" s="10" t="n">
        <v>46026.45833333334</v>
      </c>
      <c r="E12" s="7" t="inlineStr">
        <is>
          <t>Fire</t>
        </is>
      </c>
      <c r="F12" s="11" t="n">
        <v>1</v>
      </c>
      <c r="G12" s="12" t="n"/>
      <c r="H12" s="15">
        <f>IF($E12="Alış",$F12,0)</f>
        <v/>
      </c>
      <c r="I12" s="15">
        <f>IF($E12&lt;&gt;"Alış",$F12,0)</f>
        <v/>
      </c>
      <c r="J12" s="15">
        <f>IF($B12=$B11,$K11,0)</f>
        <v/>
      </c>
      <c r="K12" s="15">
        <f>$J12+$H12</f>
        <v/>
      </c>
      <c r="L12" s="15">
        <f>IF($B12=$B11,$M11,0)</f>
        <v/>
      </c>
      <c r="M12" s="15">
        <f>$L12+$I12</f>
        <v/>
      </c>
      <c r="N12" s="18">
        <f>IF($I12=0,0,SUMPRODUCT(($B$6:$B12=$B12)*($H$6:$H12&gt;0)*($G$6:$G12)*(IF($K$6:$K12&lt;$M12,$K$6:$K12,$M12)-IF($J$6:$J12&gt;$L12,$J$6:$J12,$L12))*--((IF($K$6:$K12&lt;$M12,$K$6:$K12,$M12)-IF($J$6:$J12&gt;$L12,$J$6:$J12,$L12))&gt;0)))</f>
        <v/>
      </c>
      <c r="O12" s="17">
        <f>IF($B12=$B11,$O11,0)+$H12-$I12</f>
        <v/>
      </c>
      <c r="P12" s="18">
        <f>IF($B12=$B11,$P11,0)+$H12*$G12-$N12</f>
        <v/>
      </c>
      <c r="Q12" s="18">
        <f>IF($O12=0,0,$P12/$O12)</f>
        <v/>
      </c>
      <c r="R12" s="7" t="inlineStr">
        <is>
          <t>FIFO maliyeti, çıkışın kümülatif tüketim aralığı ile alış katmanlarının kümülatif giriş aralığı kesiştirilerek bulunur.</t>
        </is>
      </c>
    </row>
    <row r="13">
      <c r="A13" s="7" t="n">
        <v>8</v>
      </c>
      <c r="B13" s="7" t="inlineStr">
        <is>
          <t>UN001</t>
        </is>
      </c>
      <c r="C13" s="7" t="inlineStr">
        <is>
          <t>Un</t>
        </is>
      </c>
      <c r="D13" s="10" t="n">
        <v>46023.3125</v>
      </c>
      <c r="E13" s="7" t="inlineStr">
        <is>
          <t>Alış</t>
        </is>
      </c>
      <c r="F13" s="11" t="n">
        <v>50</v>
      </c>
      <c r="G13" s="12" t="n">
        <v>18</v>
      </c>
      <c r="H13" s="15">
        <f>IF($E13="Alış",$F13,0)</f>
        <v/>
      </c>
      <c r="I13" s="15">
        <f>IF($E13&lt;&gt;"Alış",$F13,0)</f>
        <v/>
      </c>
      <c r="J13" s="15">
        <f>IF($B13=$B12,$K12,0)</f>
        <v/>
      </c>
      <c r="K13" s="15">
        <f>$J13+$H13</f>
        <v/>
      </c>
      <c r="L13" s="15">
        <f>IF($B13=$B12,$M12,0)</f>
        <v/>
      </c>
      <c r="M13" s="15">
        <f>$L13+$I13</f>
        <v/>
      </c>
      <c r="N13" s="18">
        <f>IF($I13=0,0,SUMPRODUCT(($B$6:$B13=$B13)*($H$6:$H13&gt;0)*($G$6:$G13)*(IF($K$6:$K13&lt;$M13,$K$6:$K13,$M13)-IF($J$6:$J13&gt;$L13,$J$6:$J13,$L13))*--((IF($K$6:$K13&lt;$M13,$K$6:$K13,$M13)-IF($J$6:$J13&gt;$L13,$J$6:$J13,$L13))&gt;0)))</f>
        <v/>
      </c>
      <c r="O13" s="17">
        <f>IF($B13=$B12,$O12,0)+$H13-$I13</f>
        <v/>
      </c>
      <c r="P13" s="18">
        <f>IF($B13=$B12,$P12,0)+$H13*$G13-$N13</f>
        <v/>
      </c>
      <c r="Q13" s="18">
        <f>IF($O13=0,0,$P13/$O13)</f>
        <v/>
      </c>
      <c r="R13" s="7" t="inlineStr">
        <is>
          <t>FIFO maliyeti, çıkışın kümülatif tüketim aralığı ile alış katmanlarının kümülatif giriş aralığı kesiştirilerek bulunur.</t>
        </is>
      </c>
    </row>
    <row r="14">
      <c r="A14" s="7" t="n">
        <v>9</v>
      </c>
      <c r="B14" s="7" t="inlineStr">
        <is>
          <t>UN001</t>
        </is>
      </c>
      <c r="C14" s="7" t="inlineStr">
        <is>
          <t>Un</t>
        </is>
      </c>
      <c r="D14" s="10" t="n">
        <v>46023.83333333334</v>
      </c>
      <c r="E14" s="7" t="inlineStr">
        <is>
          <t>Tüketim</t>
        </is>
      </c>
      <c r="F14" s="11" t="n">
        <v>12</v>
      </c>
      <c r="G14" s="12" t="n"/>
      <c r="H14" s="15">
        <f>IF($E14="Alış",$F14,0)</f>
        <v/>
      </c>
      <c r="I14" s="15">
        <f>IF($E14&lt;&gt;"Alış",$F14,0)</f>
        <v/>
      </c>
      <c r="J14" s="15">
        <f>IF($B14=$B13,$K13,0)</f>
        <v/>
      </c>
      <c r="K14" s="15">
        <f>$J14+$H14</f>
        <v/>
      </c>
      <c r="L14" s="15">
        <f>IF($B14=$B13,$M13,0)</f>
        <v/>
      </c>
      <c r="M14" s="15">
        <f>$L14+$I14</f>
        <v/>
      </c>
      <c r="N14" s="18">
        <f>IF($I14=0,0,SUMPRODUCT(($B$6:$B14=$B14)*($H$6:$H14&gt;0)*($G$6:$G14)*(IF($K$6:$K14&lt;$M14,$K$6:$K14,$M14)-IF($J$6:$J14&gt;$L14,$J$6:$J14,$L14))*--((IF($K$6:$K14&lt;$M14,$K$6:$K14,$M14)-IF($J$6:$J14&gt;$L14,$J$6:$J14,$L14))&gt;0)))</f>
        <v/>
      </c>
      <c r="O14" s="17">
        <f>IF($B14=$B13,$O13,0)+$H14-$I14</f>
        <v/>
      </c>
      <c r="P14" s="18">
        <f>IF($B14=$B13,$P13,0)+$H14*$G14-$N14</f>
        <v/>
      </c>
      <c r="Q14" s="18">
        <f>IF($O14=0,0,$P14/$O14)</f>
        <v/>
      </c>
      <c r="R14" s="7" t="inlineStr">
        <is>
          <t>FIFO maliyeti, çıkışın kümülatif tüketim aralığı ile alış katmanlarının kümülatif giriş aralığı kesiştirilerek bulunur.</t>
        </is>
      </c>
    </row>
    <row r="15">
      <c r="A15" s="7" t="n">
        <v>10</v>
      </c>
      <c r="B15" s="7" t="inlineStr">
        <is>
          <t>UN001</t>
        </is>
      </c>
      <c r="C15" s="7" t="inlineStr">
        <is>
          <t>Un</t>
        </is>
      </c>
      <c r="D15" s="10" t="n">
        <v>46024.31944444445</v>
      </c>
      <c r="E15" s="7" t="inlineStr">
        <is>
          <t>Alış</t>
        </is>
      </c>
      <c r="F15" s="11" t="n">
        <v>60</v>
      </c>
      <c r="G15" s="12" t="n">
        <v>21</v>
      </c>
      <c r="H15" s="15">
        <f>IF($E15="Alış",$F15,0)</f>
        <v/>
      </c>
      <c r="I15" s="15">
        <f>IF($E15&lt;&gt;"Alış",$F15,0)</f>
        <v/>
      </c>
      <c r="J15" s="15">
        <f>IF($B15=$B14,$K14,0)</f>
        <v/>
      </c>
      <c r="K15" s="15">
        <f>$J15+$H15</f>
        <v/>
      </c>
      <c r="L15" s="15">
        <f>IF($B15=$B14,$M14,0)</f>
        <v/>
      </c>
      <c r="M15" s="15">
        <f>$L15+$I15</f>
        <v/>
      </c>
      <c r="N15" s="18">
        <f>IF($I15=0,0,SUMPRODUCT(($B$6:$B15=$B15)*($H$6:$H15&gt;0)*($G$6:$G15)*(IF($K$6:$K15&lt;$M15,$K$6:$K15,$M15)-IF($J$6:$J15&gt;$L15,$J$6:$J15,$L15))*--((IF($K$6:$K15&lt;$M15,$K$6:$K15,$M15)-IF($J$6:$J15&gt;$L15,$J$6:$J15,$L15))&gt;0)))</f>
        <v/>
      </c>
      <c r="O15" s="17">
        <f>IF($B15=$B14,$O14,0)+$H15-$I15</f>
        <v/>
      </c>
      <c r="P15" s="18">
        <f>IF($B15=$B14,$P14,0)+$H15*$G15-$N15</f>
        <v/>
      </c>
      <c r="Q15" s="18">
        <f>IF($O15=0,0,$P15/$O15)</f>
        <v/>
      </c>
      <c r="R15" s="7" t="inlineStr">
        <is>
          <t>FIFO maliyeti, çıkışın kümülatif tüketim aralığı ile alış katmanlarının kümülatif giriş aralığı kesiştirilerek bulunur.</t>
        </is>
      </c>
    </row>
    <row r="16">
      <c r="A16" s="7" t="n">
        <v>11</v>
      </c>
      <c r="B16" s="7" t="inlineStr">
        <is>
          <t>UN001</t>
        </is>
      </c>
      <c r="C16" s="7" t="inlineStr">
        <is>
          <t>Un</t>
        </is>
      </c>
      <c r="D16" s="10" t="n">
        <v>46024.875</v>
      </c>
      <c r="E16" s="7" t="inlineStr">
        <is>
          <t>Tüketim</t>
        </is>
      </c>
      <c r="F16" s="11" t="n">
        <v>40</v>
      </c>
      <c r="G16" s="12" t="n"/>
      <c r="H16" s="15">
        <f>IF($E16="Alış",$F16,0)</f>
        <v/>
      </c>
      <c r="I16" s="15">
        <f>IF($E16&lt;&gt;"Alış",$F16,0)</f>
        <v/>
      </c>
      <c r="J16" s="15">
        <f>IF($B16=$B15,$K15,0)</f>
        <v/>
      </c>
      <c r="K16" s="15">
        <f>$J16+$H16</f>
        <v/>
      </c>
      <c r="L16" s="15">
        <f>IF($B16=$B15,$M15,0)</f>
        <v/>
      </c>
      <c r="M16" s="15">
        <f>$L16+$I16</f>
        <v/>
      </c>
      <c r="N16" s="18">
        <f>IF($I16=0,0,SUMPRODUCT(($B$6:$B16=$B16)*($H$6:$H16&gt;0)*($G$6:$G16)*(IF($K$6:$K16&lt;$M16,$K$6:$K16,$M16)-IF($J$6:$J16&gt;$L16,$J$6:$J16,$L16))*--((IF($K$6:$K16&lt;$M16,$K$6:$K16,$M16)-IF($J$6:$J16&gt;$L16,$J$6:$J16,$L16))&gt;0)))</f>
        <v/>
      </c>
      <c r="O16" s="17">
        <f>IF($B16=$B15,$O15,0)+$H16-$I16</f>
        <v/>
      </c>
      <c r="P16" s="18">
        <f>IF($B16=$B15,$P15,0)+$H16*$G16-$N16</f>
        <v/>
      </c>
      <c r="Q16" s="18">
        <f>IF($O16=0,0,$P16/$O16)</f>
        <v/>
      </c>
      <c r="R16" s="7" t="inlineStr">
        <is>
          <t>FIFO maliyeti, çıkışın kümülatif tüketim aralığı ile alış katmanlarının kümülatif giriş aralığı kesiştirilerek bulunur.</t>
        </is>
      </c>
    </row>
    <row r="17">
      <c r="A17" s="7" t="n">
        <v>12</v>
      </c>
      <c r="B17" s="7" t="inlineStr">
        <is>
          <t>UN001</t>
        </is>
      </c>
      <c r="C17" s="7" t="inlineStr">
        <is>
          <t>Un</t>
        </is>
      </c>
      <c r="D17" s="10" t="n">
        <v>46025.34027777778</v>
      </c>
      <c r="E17" s="7" t="inlineStr">
        <is>
          <t>Alış</t>
        </is>
      </c>
      <c r="F17" s="11" t="n">
        <v>40</v>
      </c>
      <c r="G17" s="12" t="n">
        <v>24</v>
      </c>
      <c r="H17" s="15">
        <f>IF($E17="Alış",$F17,0)</f>
        <v/>
      </c>
      <c r="I17" s="15">
        <f>IF($E17&lt;&gt;"Alış",$F17,0)</f>
        <v/>
      </c>
      <c r="J17" s="15">
        <f>IF($B17=$B16,$K16,0)</f>
        <v/>
      </c>
      <c r="K17" s="15">
        <f>$J17+$H17</f>
        <v/>
      </c>
      <c r="L17" s="15">
        <f>IF($B17=$B16,$M16,0)</f>
        <v/>
      </c>
      <c r="M17" s="15">
        <f>$L17+$I17</f>
        <v/>
      </c>
      <c r="N17" s="18">
        <f>IF($I17=0,0,SUMPRODUCT(($B$6:$B17=$B17)*($H$6:$H17&gt;0)*($G$6:$G17)*(IF($K$6:$K17&lt;$M17,$K$6:$K17,$M17)-IF($J$6:$J17&gt;$L17,$J$6:$J17,$L17))*--((IF($K$6:$K17&lt;$M17,$K$6:$K17,$M17)-IF($J$6:$J17&gt;$L17,$J$6:$J17,$L17))&gt;0)))</f>
        <v/>
      </c>
      <c r="O17" s="17">
        <f>IF($B17=$B16,$O16,0)+$H17-$I17</f>
        <v/>
      </c>
      <c r="P17" s="18">
        <f>IF($B17=$B16,$P16,0)+$H17*$G17-$N17</f>
        <v/>
      </c>
      <c r="Q17" s="18">
        <f>IF($O17=0,0,$P17/$O17)</f>
        <v/>
      </c>
      <c r="R17" s="7" t="inlineStr">
        <is>
          <t>FIFO maliyeti, çıkışın kümülatif tüketim aralığı ile alış katmanlarının kümülatif giriş aralığı kesiştirilerek bulunur.</t>
        </is>
      </c>
    </row>
    <row r="18">
      <c r="A18" s="7" t="n">
        <v>13</v>
      </c>
      <c r="B18" s="7" t="inlineStr">
        <is>
          <t>UN001</t>
        </is>
      </c>
      <c r="C18" s="7" t="inlineStr">
        <is>
          <t>Un</t>
        </is>
      </c>
      <c r="D18" s="10" t="n">
        <v>46026.85416666666</v>
      </c>
      <c r="E18" s="7" t="inlineStr">
        <is>
          <t>Tüketim</t>
        </is>
      </c>
      <c r="F18" s="11" t="n">
        <v>55</v>
      </c>
      <c r="G18" s="12" t="n"/>
      <c r="H18" s="15">
        <f>IF($E18="Alış",$F18,0)</f>
        <v/>
      </c>
      <c r="I18" s="15">
        <f>IF($E18&lt;&gt;"Alış",$F18,0)</f>
        <v/>
      </c>
      <c r="J18" s="15">
        <f>IF($B18=$B17,$K17,0)</f>
        <v/>
      </c>
      <c r="K18" s="15">
        <f>$J18+$H18</f>
        <v/>
      </c>
      <c r="L18" s="15">
        <f>IF($B18=$B17,$M17,0)</f>
        <v/>
      </c>
      <c r="M18" s="15">
        <f>$L18+$I18</f>
        <v/>
      </c>
      <c r="N18" s="18">
        <f>IF($I18=0,0,SUMPRODUCT(($B$6:$B18=$B18)*($H$6:$H18&gt;0)*($G$6:$G18)*(IF($K$6:$K18&lt;$M18,$K$6:$K18,$M18)-IF($J$6:$J18&gt;$L18,$J$6:$J18,$L18))*--((IF($K$6:$K18&lt;$M18,$K$6:$K18,$M18)-IF($J$6:$J18&gt;$L18,$J$6:$J18,$L18))&gt;0)))</f>
        <v/>
      </c>
      <c r="O18" s="17">
        <f>IF($B18=$B17,$O17,0)+$H18-$I18</f>
        <v/>
      </c>
      <c r="P18" s="18">
        <f>IF($B18=$B17,$P17,0)+$H18*$G18-$N18</f>
        <v/>
      </c>
      <c r="Q18" s="18">
        <f>IF($O18=0,0,$P18/$O18)</f>
        <v/>
      </c>
      <c r="R18" s="7" t="inlineStr">
        <is>
          <t>FIFO maliyeti, çıkışın kümülatif tüketim aralığı ile alış katmanlarının kümülatif giriş aralığı kesiştirilerek bulunur.</t>
        </is>
      </c>
    </row>
    <row r="19">
      <c r="A19" s="7" t="n">
        <v>14</v>
      </c>
      <c r="B19" s="7" t="inlineStr">
        <is>
          <t>UN001</t>
        </is>
      </c>
      <c r="C19" s="7" t="inlineStr">
        <is>
          <t>Un</t>
        </is>
      </c>
      <c r="D19" s="10" t="n">
        <v>46027.41666666666</v>
      </c>
      <c r="E19" s="7" t="inlineStr">
        <is>
          <t>Fire</t>
        </is>
      </c>
      <c r="F19" s="11" t="n">
        <v>2</v>
      </c>
      <c r="G19" s="12" t="n"/>
      <c r="H19" s="15">
        <f>IF($E19="Alış",$F19,0)</f>
        <v/>
      </c>
      <c r="I19" s="15">
        <f>IF($E19&lt;&gt;"Alış",$F19,0)</f>
        <v/>
      </c>
      <c r="J19" s="15">
        <f>IF($B19=$B18,$K18,0)</f>
        <v/>
      </c>
      <c r="K19" s="15">
        <f>$J19+$H19</f>
        <v/>
      </c>
      <c r="L19" s="15">
        <f>IF($B19=$B18,$M18,0)</f>
        <v/>
      </c>
      <c r="M19" s="15">
        <f>$L19+$I19</f>
        <v/>
      </c>
      <c r="N19" s="18">
        <f>IF($I19=0,0,SUMPRODUCT(($B$6:$B19=$B19)*($H$6:$H19&gt;0)*($G$6:$G19)*(IF($K$6:$K19&lt;$M19,$K$6:$K19,$M19)-IF($J$6:$J19&gt;$L19,$J$6:$J19,$L19))*--((IF($K$6:$K19&lt;$M19,$K$6:$K19,$M19)-IF($J$6:$J19&gt;$L19,$J$6:$J19,$L19))&gt;0)))</f>
        <v/>
      </c>
      <c r="O19" s="17">
        <f>IF($B19=$B18,$O18,0)+$H19-$I19</f>
        <v/>
      </c>
      <c r="P19" s="18">
        <f>IF($B19=$B18,$P18,0)+$H19*$G19-$N19</f>
        <v/>
      </c>
      <c r="Q19" s="18">
        <f>IF($O19=0,0,$P19/$O19)</f>
        <v/>
      </c>
      <c r="R19" s="7" t="inlineStr">
        <is>
          <t>FIFO maliyeti, çıkışın kümülatif tüketim aralığı ile alış katmanlarının kümülatif giriş aralığı kesiştirilerek bulunur.</t>
        </is>
      </c>
    </row>
    <row r="21">
      <c r="A21" s="8" t="inlineStr">
        <is>
          <t>Hazırlanma tarihi: 2026-06-11 | Not: Formüller İngilizce Excel fonksiyon adlarıyla yazılır; Türkçe Excel arayüzünde yerel adlarla görüntülenebilir.</t>
        </is>
      </c>
    </row>
  </sheetData>
  <autoFilter ref="A5:R19"/>
  <mergeCells count="1">
    <mergeCell ref="A3:R3"/>
  </mergeCells>
  <conditionalFormatting sqref="O6:O19">
    <cfRule type="cellIs" priority="1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8" customWidth="1" min="4" max="4"/>
    <col width="13" customWidth="1" min="5" max="5"/>
    <col width="10" customWidth="1" min="6" max="6"/>
    <col width="15" customWidth="1" min="7" max="7"/>
    <col width="12" customWidth="1" min="8" max="8"/>
    <col width="12" customWidth="1" min="9" max="9"/>
    <col width="15" customWidth="1" min="10" max="10"/>
    <col width="20" customWidth="1" min="11" max="11"/>
    <col width="14" customWidth="1" min="12" max="12"/>
    <col width="13" customWidth="1" min="13" max="13"/>
    <col width="16" customWidth="1" min="14" max="14"/>
    <col width="44" customWidth="1" min="15" max="15"/>
  </cols>
  <sheetData>
    <row r="1" ht="30" customHeight="1">
      <c r="A1" s="1" t="inlineStr">
        <is>
          <t>Son Alış Fiyatı Yöntemi</t>
        </is>
      </c>
    </row>
    <row r="2" ht="38" customHeight="1">
      <c r="A2" s="2" t="inlineStr">
        <is>
          <t>Maliyet, eldeki stok karışımından bağımsız olarak en son fatura fiyatına eşitlenir. En korumacı fiyatlama yaklaşımıdır.</t>
        </is>
      </c>
    </row>
    <row r="3">
      <c r="A3" s="14" t="inlineStr">
        <is>
          <t>Büyük veri formülü: C_t=IF(HareketTipi='Alış', AlışBirimFiyat, C_(t-1)); ÇıkışMaliyeti=Çıkış*C_t.</t>
        </is>
      </c>
    </row>
    <row r="5" ht="34" customHeight="1">
      <c r="A5" s="5" t="inlineStr">
        <is>
          <t>HareketID</t>
        </is>
      </c>
      <c r="B5" s="5" t="inlineStr">
        <is>
          <t>MalzemeID</t>
        </is>
      </c>
      <c r="C5" s="5" t="inlineStr">
        <is>
          <t>Malzeme</t>
        </is>
      </c>
      <c r="D5" s="5" t="inlineStr">
        <is>
          <t>TarihSaat</t>
        </is>
      </c>
      <c r="E5" s="5" t="inlineStr">
        <is>
          <t>HareketTipi</t>
        </is>
      </c>
      <c r="F5" s="5" t="inlineStr">
        <is>
          <t>Miktar</t>
        </is>
      </c>
      <c r="G5" s="5" t="inlineStr">
        <is>
          <t>AlışBirimFiyat</t>
        </is>
      </c>
      <c r="H5" s="5" t="inlineStr">
        <is>
          <t>GirişMiktar</t>
        </is>
      </c>
      <c r="I5" s="5" t="inlineStr">
        <is>
          <t>ÇıkışMiktar</t>
        </is>
      </c>
      <c r="J5" s="5" t="inlineStr">
        <is>
          <t>ÖncekiSonAlış</t>
        </is>
      </c>
      <c r="K5" s="5" t="inlineStr">
        <is>
          <t>SonAlışBirimMaliyet</t>
        </is>
      </c>
      <c r="L5" s="5" t="inlineStr">
        <is>
          <t>ÇıkışMaliyeti</t>
        </is>
      </c>
      <c r="M5" s="5" t="inlineStr">
        <is>
          <t>StokMiktarı</t>
        </is>
      </c>
      <c r="N5" s="5" t="inlineStr">
        <is>
          <t>TeorikStokDeğeri</t>
        </is>
      </c>
      <c r="O5" s="5" t="inlineStr">
        <is>
          <t>Formül mantığı</t>
        </is>
      </c>
    </row>
    <row r="6">
      <c r="A6" s="7" t="n">
        <v>1</v>
      </c>
      <c r="B6" s="7" t="inlineStr">
        <is>
          <t>ET001</t>
        </is>
      </c>
      <c r="C6" s="7" t="inlineStr">
        <is>
          <t>Dana eti</t>
        </is>
      </c>
      <c r="D6" s="10" t="n">
        <v>46023.33333333334</v>
      </c>
      <c r="E6" s="7" t="inlineStr">
        <is>
          <t>Alış</t>
        </is>
      </c>
      <c r="F6" s="11" t="n">
        <v>10</v>
      </c>
      <c r="G6" s="12" t="n">
        <v>400</v>
      </c>
      <c r="H6" s="15">
        <f>IF($E6="Alış",$F6,0)</f>
        <v/>
      </c>
      <c r="I6" s="15">
        <f>IF($E6&lt;&gt;"Alış",$F6,0)</f>
        <v/>
      </c>
      <c r="J6" s="16">
        <f>IF($B6=$B5,$K5,0)</f>
        <v/>
      </c>
      <c r="K6" s="18">
        <f>IF($E6="Alış",$G6,$J6)</f>
        <v/>
      </c>
      <c r="L6" s="18">
        <f>$I6*$K6</f>
        <v/>
      </c>
      <c r="M6" s="17">
        <f>IF($B6=$B5,$M5,0)+$H6-$I6</f>
        <v/>
      </c>
      <c r="N6" s="18">
        <f>$M6*$K6</f>
        <v/>
      </c>
      <c r="O6" s="7" t="inlineStr">
        <is>
          <t>Reçete maliyeti, bu satırdan sonra son alış birim fiyatını kullanır; stok değeri teoriktir.</t>
        </is>
      </c>
    </row>
    <row r="7">
      <c r="A7" s="7" t="n">
        <v>2</v>
      </c>
      <c r="B7" s="7" t="inlineStr">
        <is>
          <t>ET001</t>
        </is>
      </c>
      <c r="C7" s="7" t="inlineStr">
        <is>
          <t>Dana eti</t>
        </is>
      </c>
      <c r="D7" s="10" t="n">
        <v>46023.77083333334</v>
      </c>
      <c r="E7" s="7" t="inlineStr">
        <is>
          <t>Tüketim</t>
        </is>
      </c>
      <c r="F7" s="11" t="n">
        <v>3</v>
      </c>
      <c r="G7" s="12" t="n"/>
      <c r="H7" s="15">
        <f>IF($E7="Alış",$F7,0)</f>
        <v/>
      </c>
      <c r="I7" s="15">
        <f>IF($E7&lt;&gt;"Alış",$F7,0)</f>
        <v/>
      </c>
      <c r="J7" s="16">
        <f>IF($B7=$B6,$K6,0)</f>
        <v/>
      </c>
      <c r="K7" s="18">
        <f>IF($E7="Alış",$G7,$J7)</f>
        <v/>
      </c>
      <c r="L7" s="18">
        <f>$I7*$K7</f>
        <v/>
      </c>
      <c r="M7" s="17">
        <f>IF($B7=$B6,$M6,0)+$H7-$I7</f>
        <v/>
      </c>
      <c r="N7" s="18">
        <f>$M7*$K7</f>
        <v/>
      </c>
      <c r="O7" s="7" t="inlineStr">
        <is>
          <t>Reçete maliyeti, bu satırdan sonra son alış birim fiyatını kullanır; stok değeri teoriktir.</t>
        </is>
      </c>
    </row>
    <row r="8">
      <c r="A8" s="7" t="n">
        <v>3</v>
      </c>
      <c r="B8" s="7" t="inlineStr">
        <is>
          <t>ET001</t>
        </is>
      </c>
      <c r="C8" s="7" t="inlineStr">
        <is>
          <t>Dana eti</t>
        </is>
      </c>
      <c r="D8" s="10" t="n">
        <v>46024.38541666666</v>
      </c>
      <c r="E8" s="7" t="inlineStr">
        <is>
          <t>Alış</t>
        </is>
      </c>
      <c r="F8" s="11" t="n">
        <v>20</v>
      </c>
      <c r="G8" s="12" t="n">
        <v>460</v>
      </c>
      <c r="H8" s="15">
        <f>IF($E8="Alış",$F8,0)</f>
        <v/>
      </c>
      <c r="I8" s="15">
        <f>IF($E8&lt;&gt;"Alış",$F8,0)</f>
        <v/>
      </c>
      <c r="J8" s="16">
        <f>IF($B8=$B7,$K7,0)</f>
        <v/>
      </c>
      <c r="K8" s="18">
        <f>IF($E8="Alış",$G8,$J8)</f>
        <v/>
      </c>
      <c r="L8" s="18">
        <f>$I8*$K8</f>
        <v/>
      </c>
      <c r="M8" s="17">
        <f>IF($B8=$B7,$M7,0)+$H8-$I8</f>
        <v/>
      </c>
      <c r="N8" s="18">
        <f>$M8*$K8</f>
        <v/>
      </c>
      <c r="O8" s="7" t="inlineStr">
        <is>
          <t>Reçete maliyeti, bu satırdan sonra son alış birim fiyatını kullanır; stok değeri teoriktir.</t>
        </is>
      </c>
    </row>
    <row r="9">
      <c r="A9" s="7" t="n">
        <v>4</v>
      </c>
      <c r="B9" s="7" t="inlineStr">
        <is>
          <t>ET001</t>
        </is>
      </c>
      <c r="C9" s="7" t="inlineStr">
        <is>
          <t>Dana eti</t>
        </is>
      </c>
      <c r="D9" s="10" t="n">
        <v>46024.79166666666</v>
      </c>
      <c r="E9" s="7" t="inlineStr">
        <is>
          <t>Tüketim</t>
        </is>
      </c>
      <c r="F9" s="11" t="n">
        <v>12</v>
      </c>
      <c r="G9" s="12" t="n"/>
      <c r="H9" s="15">
        <f>IF($E9="Alış",$F9,0)</f>
        <v/>
      </c>
      <c r="I9" s="15">
        <f>IF($E9&lt;&gt;"Alış",$F9,0)</f>
        <v/>
      </c>
      <c r="J9" s="16">
        <f>IF($B9=$B8,$K8,0)</f>
        <v/>
      </c>
      <c r="K9" s="18">
        <f>IF($E9="Alış",$G9,$J9)</f>
        <v/>
      </c>
      <c r="L9" s="18">
        <f>$I9*$K9</f>
        <v/>
      </c>
      <c r="M9" s="17">
        <f>IF($B9=$B8,$M8,0)+$H9-$I9</f>
        <v/>
      </c>
      <c r="N9" s="18">
        <f>$M9*$K9</f>
        <v/>
      </c>
      <c r="O9" s="7" t="inlineStr">
        <is>
          <t>Reçete maliyeti, bu satırdan sonra son alış birim fiyatını kullanır; stok değeri teoriktir.</t>
        </is>
      </c>
    </row>
    <row r="10">
      <c r="A10" s="7" t="n">
        <v>5</v>
      </c>
      <c r="B10" s="7" t="inlineStr">
        <is>
          <t>ET001</t>
        </is>
      </c>
      <c r="C10" s="7" t="inlineStr">
        <is>
          <t>Dana eti</t>
        </is>
      </c>
      <c r="D10" s="10" t="n">
        <v>46025.38888888889</v>
      </c>
      <c r="E10" s="7" t="inlineStr">
        <is>
          <t>Alış</t>
        </is>
      </c>
      <c r="F10" s="11" t="n">
        <v>15</v>
      </c>
      <c r="G10" s="12" t="n">
        <v>500</v>
      </c>
      <c r="H10" s="15">
        <f>IF($E10="Alış",$F10,0)</f>
        <v/>
      </c>
      <c r="I10" s="15">
        <f>IF($E10&lt;&gt;"Alış",$F10,0)</f>
        <v/>
      </c>
      <c r="J10" s="16">
        <f>IF($B10=$B9,$K9,0)</f>
        <v/>
      </c>
      <c r="K10" s="18">
        <f>IF($E10="Alış",$G10,$J10)</f>
        <v/>
      </c>
      <c r="L10" s="18">
        <f>$I10*$K10</f>
        <v/>
      </c>
      <c r="M10" s="17">
        <f>IF($B10=$B9,$M9,0)+$H10-$I10</f>
        <v/>
      </c>
      <c r="N10" s="18">
        <f>$M10*$K10</f>
        <v/>
      </c>
      <c r="O10" s="7" t="inlineStr">
        <is>
          <t>Reçete maliyeti, bu satırdan sonra son alış birim fiyatını kullanır; stok değeri teoriktir.</t>
        </is>
      </c>
    </row>
    <row r="11">
      <c r="A11" s="7" t="n">
        <v>6</v>
      </c>
      <c r="B11" s="7" t="inlineStr">
        <is>
          <t>ET001</t>
        </is>
      </c>
      <c r="C11" s="7" t="inlineStr">
        <is>
          <t>Dana eti</t>
        </is>
      </c>
      <c r="D11" s="10" t="n">
        <v>46025.88194444445</v>
      </c>
      <c r="E11" s="7" t="inlineStr">
        <is>
          <t>Tüketim</t>
        </is>
      </c>
      <c r="F11" s="11" t="n">
        <v>18</v>
      </c>
      <c r="G11" s="12" t="n"/>
      <c r="H11" s="15">
        <f>IF($E11="Alış",$F11,0)</f>
        <v/>
      </c>
      <c r="I11" s="15">
        <f>IF($E11&lt;&gt;"Alış",$F11,0)</f>
        <v/>
      </c>
      <c r="J11" s="16">
        <f>IF($B11=$B10,$K10,0)</f>
        <v/>
      </c>
      <c r="K11" s="18">
        <f>IF($E11="Alış",$G11,$J11)</f>
        <v/>
      </c>
      <c r="L11" s="18">
        <f>$I11*$K11</f>
        <v/>
      </c>
      <c r="M11" s="17">
        <f>IF($B11=$B10,$M10,0)+$H11-$I11</f>
        <v/>
      </c>
      <c r="N11" s="18">
        <f>$M11*$K11</f>
        <v/>
      </c>
      <c r="O11" s="7" t="inlineStr">
        <is>
          <t>Reçete maliyeti, bu satırdan sonra son alış birim fiyatını kullanır; stok değeri teoriktir.</t>
        </is>
      </c>
    </row>
    <row r="12">
      <c r="A12" s="7" t="n">
        <v>7</v>
      </c>
      <c r="B12" s="7" t="inlineStr">
        <is>
          <t>ET001</t>
        </is>
      </c>
      <c r="C12" s="7" t="inlineStr">
        <is>
          <t>Dana eti</t>
        </is>
      </c>
      <c r="D12" s="10" t="n">
        <v>46026.45833333334</v>
      </c>
      <c r="E12" s="7" t="inlineStr">
        <is>
          <t>Fire</t>
        </is>
      </c>
      <c r="F12" s="11" t="n">
        <v>1</v>
      </c>
      <c r="G12" s="12" t="n"/>
      <c r="H12" s="15">
        <f>IF($E12="Alış",$F12,0)</f>
        <v/>
      </c>
      <c r="I12" s="15">
        <f>IF($E12&lt;&gt;"Alış",$F12,0)</f>
        <v/>
      </c>
      <c r="J12" s="16">
        <f>IF($B12=$B11,$K11,0)</f>
        <v/>
      </c>
      <c r="K12" s="18">
        <f>IF($E12="Alış",$G12,$J12)</f>
        <v/>
      </c>
      <c r="L12" s="18">
        <f>$I12*$K12</f>
        <v/>
      </c>
      <c r="M12" s="17">
        <f>IF($B12=$B11,$M11,0)+$H12-$I12</f>
        <v/>
      </c>
      <c r="N12" s="18">
        <f>$M12*$K12</f>
        <v/>
      </c>
      <c r="O12" s="7" t="inlineStr">
        <is>
          <t>Reçete maliyeti, bu satırdan sonra son alış birim fiyatını kullanır; stok değeri teoriktir.</t>
        </is>
      </c>
    </row>
    <row r="13">
      <c r="A13" s="7" t="n">
        <v>8</v>
      </c>
      <c r="B13" s="7" t="inlineStr">
        <is>
          <t>UN001</t>
        </is>
      </c>
      <c r="C13" s="7" t="inlineStr">
        <is>
          <t>Un</t>
        </is>
      </c>
      <c r="D13" s="10" t="n">
        <v>46023.3125</v>
      </c>
      <c r="E13" s="7" t="inlineStr">
        <is>
          <t>Alış</t>
        </is>
      </c>
      <c r="F13" s="11" t="n">
        <v>50</v>
      </c>
      <c r="G13" s="12" t="n">
        <v>18</v>
      </c>
      <c r="H13" s="15">
        <f>IF($E13="Alış",$F13,0)</f>
        <v/>
      </c>
      <c r="I13" s="15">
        <f>IF($E13&lt;&gt;"Alış",$F13,0)</f>
        <v/>
      </c>
      <c r="J13" s="16">
        <f>IF($B13=$B12,$K12,0)</f>
        <v/>
      </c>
      <c r="K13" s="18">
        <f>IF($E13="Alış",$G13,$J13)</f>
        <v/>
      </c>
      <c r="L13" s="18">
        <f>$I13*$K13</f>
        <v/>
      </c>
      <c r="M13" s="17">
        <f>IF($B13=$B12,$M12,0)+$H13-$I13</f>
        <v/>
      </c>
      <c r="N13" s="18">
        <f>$M13*$K13</f>
        <v/>
      </c>
      <c r="O13" s="7" t="inlineStr">
        <is>
          <t>Reçete maliyeti, bu satırdan sonra son alış birim fiyatını kullanır; stok değeri teoriktir.</t>
        </is>
      </c>
    </row>
    <row r="14">
      <c r="A14" s="7" t="n">
        <v>9</v>
      </c>
      <c r="B14" s="7" t="inlineStr">
        <is>
          <t>UN001</t>
        </is>
      </c>
      <c r="C14" s="7" t="inlineStr">
        <is>
          <t>Un</t>
        </is>
      </c>
      <c r="D14" s="10" t="n">
        <v>46023.83333333334</v>
      </c>
      <c r="E14" s="7" t="inlineStr">
        <is>
          <t>Tüketim</t>
        </is>
      </c>
      <c r="F14" s="11" t="n">
        <v>12</v>
      </c>
      <c r="G14" s="12" t="n"/>
      <c r="H14" s="15">
        <f>IF($E14="Alış",$F14,0)</f>
        <v/>
      </c>
      <c r="I14" s="15">
        <f>IF($E14&lt;&gt;"Alış",$F14,0)</f>
        <v/>
      </c>
      <c r="J14" s="16">
        <f>IF($B14=$B13,$K13,0)</f>
        <v/>
      </c>
      <c r="K14" s="18">
        <f>IF($E14="Alış",$G14,$J14)</f>
        <v/>
      </c>
      <c r="L14" s="18">
        <f>$I14*$K14</f>
        <v/>
      </c>
      <c r="M14" s="17">
        <f>IF($B14=$B13,$M13,0)+$H14-$I14</f>
        <v/>
      </c>
      <c r="N14" s="18">
        <f>$M14*$K14</f>
        <v/>
      </c>
      <c r="O14" s="7" t="inlineStr">
        <is>
          <t>Reçete maliyeti, bu satırdan sonra son alış birim fiyatını kullanır; stok değeri teoriktir.</t>
        </is>
      </c>
    </row>
    <row r="15">
      <c r="A15" s="7" t="n">
        <v>10</v>
      </c>
      <c r="B15" s="7" t="inlineStr">
        <is>
          <t>UN001</t>
        </is>
      </c>
      <c r="C15" s="7" t="inlineStr">
        <is>
          <t>Un</t>
        </is>
      </c>
      <c r="D15" s="10" t="n">
        <v>46024.31944444445</v>
      </c>
      <c r="E15" s="7" t="inlineStr">
        <is>
          <t>Alış</t>
        </is>
      </c>
      <c r="F15" s="11" t="n">
        <v>60</v>
      </c>
      <c r="G15" s="12" t="n">
        <v>21</v>
      </c>
      <c r="H15" s="15">
        <f>IF($E15="Alış",$F15,0)</f>
        <v/>
      </c>
      <c r="I15" s="15">
        <f>IF($E15&lt;&gt;"Alış",$F15,0)</f>
        <v/>
      </c>
      <c r="J15" s="16">
        <f>IF($B15=$B14,$K14,0)</f>
        <v/>
      </c>
      <c r="K15" s="18">
        <f>IF($E15="Alış",$G15,$J15)</f>
        <v/>
      </c>
      <c r="L15" s="18">
        <f>$I15*$K15</f>
        <v/>
      </c>
      <c r="M15" s="17">
        <f>IF($B15=$B14,$M14,0)+$H15-$I15</f>
        <v/>
      </c>
      <c r="N15" s="18">
        <f>$M15*$K15</f>
        <v/>
      </c>
      <c r="O15" s="7" t="inlineStr">
        <is>
          <t>Reçete maliyeti, bu satırdan sonra son alış birim fiyatını kullanır; stok değeri teoriktir.</t>
        </is>
      </c>
    </row>
    <row r="16">
      <c r="A16" s="7" t="n">
        <v>11</v>
      </c>
      <c r="B16" s="7" t="inlineStr">
        <is>
          <t>UN001</t>
        </is>
      </c>
      <c r="C16" s="7" t="inlineStr">
        <is>
          <t>Un</t>
        </is>
      </c>
      <c r="D16" s="10" t="n">
        <v>46024.875</v>
      </c>
      <c r="E16" s="7" t="inlineStr">
        <is>
          <t>Tüketim</t>
        </is>
      </c>
      <c r="F16" s="11" t="n">
        <v>40</v>
      </c>
      <c r="G16" s="12" t="n"/>
      <c r="H16" s="15">
        <f>IF($E16="Alış",$F16,0)</f>
        <v/>
      </c>
      <c r="I16" s="15">
        <f>IF($E16&lt;&gt;"Alış",$F16,0)</f>
        <v/>
      </c>
      <c r="J16" s="16">
        <f>IF($B16=$B15,$K15,0)</f>
        <v/>
      </c>
      <c r="K16" s="18">
        <f>IF($E16="Alış",$G16,$J16)</f>
        <v/>
      </c>
      <c r="L16" s="18">
        <f>$I16*$K16</f>
        <v/>
      </c>
      <c r="M16" s="17">
        <f>IF($B16=$B15,$M15,0)+$H16-$I16</f>
        <v/>
      </c>
      <c r="N16" s="18">
        <f>$M16*$K16</f>
        <v/>
      </c>
      <c r="O16" s="7" t="inlineStr">
        <is>
          <t>Reçete maliyeti, bu satırdan sonra son alış birim fiyatını kullanır; stok değeri teoriktir.</t>
        </is>
      </c>
    </row>
    <row r="17">
      <c r="A17" s="7" t="n">
        <v>12</v>
      </c>
      <c r="B17" s="7" t="inlineStr">
        <is>
          <t>UN001</t>
        </is>
      </c>
      <c r="C17" s="7" t="inlineStr">
        <is>
          <t>Un</t>
        </is>
      </c>
      <c r="D17" s="10" t="n">
        <v>46025.34027777778</v>
      </c>
      <c r="E17" s="7" t="inlineStr">
        <is>
          <t>Alış</t>
        </is>
      </c>
      <c r="F17" s="11" t="n">
        <v>40</v>
      </c>
      <c r="G17" s="12" t="n">
        <v>24</v>
      </c>
      <c r="H17" s="15">
        <f>IF($E17="Alış",$F17,0)</f>
        <v/>
      </c>
      <c r="I17" s="15">
        <f>IF($E17&lt;&gt;"Alış",$F17,0)</f>
        <v/>
      </c>
      <c r="J17" s="16">
        <f>IF($B17=$B16,$K16,0)</f>
        <v/>
      </c>
      <c r="K17" s="18">
        <f>IF($E17="Alış",$G17,$J17)</f>
        <v/>
      </c>
      <c r="L17" s="18">
        <f>$I17*$K17</f>
        <v/>
      </c>
      <c r="M17" s="17">
        <f>IF($B17=$B16,$M16,0)+$H17-$I17</f>
        <v/>
      </c>
      <c r="N17" s="18">
        <f>$M17*$K17</f>
        <v/>
      </c>
      <c r="O17" s="7" t="inlineStr">
        <is>
          <t>Reçete maliyeti, bu satırdan sonra son alış birim fiyatını kullanır; stok değeri teoriktir.</t>
        </is>
      </c>
    </row>
    <row r="18">
      <c r="A18" s="7" t="n">
        <v>13</v>
      </c>
      <c r="B18" s="7" t="inlineStr">
        <is>
          <t>UN001</t>
        </is>
      </c>
      <c r="C18" s="7" t="inlineStr">
        <is>
          <t>Un</t>
        </is>
      </c>
      <c r="D18" s="10" t="n">
        <v>46026.85416666666</v>
      </c>
      <c r="E18" s="7" t="inlineStr">
        <is>
          <t>Tüketim</t>
        </is>
      </c>
      <c r="F18" s="11" t="n">
        <v>55</v>
      </c>
      <c r="G18" s="12" t="n"/>
      <c r="H18" s="15">
        <f>IF($E18="Alış",$F18,0)</f>
        <v/>
      </c>
      <c r="I18" s="15">
        <f>IF($E18&lt;&gt;"Alış",$F18,0)</f>
        <v/>
      </c>
      <c r="J18" s="16">
        <f>IF($B18=$B17,$K17,0)</f>
        <v/>
      </c>
      <c r="K18" s="18">
        <f>IF($E18="Alış",$G18,$J18)</f>
        <v/>
      </c>
      <c r="L18" s="18">
        <f>$I18*$K18</f>
        <v/>
      </c>
      <c r="M18" s="17">
        <f>IF($B18=$B17,$M17,0)+$H18-$I18</f>
        <v/>
      </c>
      <c r="N18" s="18">
        <f>$M18*$K18</f>
        <v/>
      </c>
      <c r="O18" s="7" t="inlineStr">
        <is>
          <t>Reçete maliyeti, bu satırdan sonra son alış birim fiyatını kullanır; stok değeri teoriktir.</t>
        </is>
      </c>
    </row>
    <row r="19">
      <c r="A19" s="7" t="n">
        <v>14</v>
      </c>
      <c r="B19" s="7" t="inlineStr">
        <is>
          <t>UN001</t>
        </is>
      </c>
      <c r="C19" s="7" t="inlineStr">
        <is>
          <t>Un</t>
        </is>
      </c>
      <c r="D19" s="10" t="n">
        <v>46027.41666666666</v>
      </c>
      <c r="E19" s="7" t="inlineStr">
        <is>
          <t>Fire</t>
        </is>
      </c>
      <c r="F19" s="11" t="n">
        <v>2</v>
      </c>
      <c r="G19" s="12" t="n"/>
      <c r="H19" s="15">
        <f>IF($E19="Alış",$F19,0)</f>
        <v/>
      </c>
      <c r="I19" s="15">
        <f>IF($E19&lt;&gt;"Alış",$F19,0)</f>
        <v/>
      </c>
      <c r="J19" s="16">
        <f>IF($B19=$B18,$K18,0)</f>
        <v/>
      </c>
      <c r="K19" s="18">
        <f>IF($E19="Alış",$G19,$J19)</f>
        <v/>
      </c>
      <c r="L19" s="18">
        <f>$I19*$K19</f>
        <v/>
      </c>
      <c r="M19" s="17">
        <f>IF($B19=$B18,$M18,0)+$H19-$I19</f>
        <v/>
      </c>
      <c r="N19" s="18">
        <f>$M19*$K19</f>
        <v/>
      </c>
      <c r="O19" s="7" t="inlineStr">
        <is>
          <t>Reçete maliyeti, bu satırdan sonra son alış birim fiyatını kullanır; stok değeri teoriktir.</t>
        </is>
      </c>
    </row>
    <row r="21">
      <c r="A21" s="8" t="inlineStr">
        <is>
          <t>Hazırlanma tarihi: 2026-06-11 | Not: Formüller İngilizce Excel fonksiyon adlarıyla yazılır; Türkçe Excel arayüzünde yerel adlarla görüntülenebilir.</t>
        </is>
      </c>
    </row>
  </sheetData>
  <autoFilter ref="A5:O19"/>
  <mergeCells count="1">
    <mergeCell ref="A3:O3"/>
  </mergeCells>
  <conditionalFormatting sqref="M6:M19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54" customWidth="1" min="3" max="3"/>
    <col width="44" customWidth="1" min="4" max="4"/>
  </cols>
  <sheetData>
    <row r="1" ht="30" customHeight="1">
      <c r="A1" s="1" t="inlineStr">
        <is>
          <t>Büyük Data Formülasyon Rehberi</t>
        </is>
      </c>
    </row>
    <row r="2" ht="38" customHeight="1">
      <c r="A2" s="2" t="inlineStr">
        <is>
          <t>Milyonlarca stok hareketinde amaç, her satışta bütün geçmişi tekrar taramak değil; ürün bazlı güncel durum/snapshot üretmektir.</t>
        </is>
      </c>
    </row>
    <row r="4">
      <c r="A4" s="19" t="inlineStr">
        <is>
          <t>1. Veri modeli</t>
        </is>
      </c>
      <c r="B4" s="19" t="n"/>
      <c r="C4" s="19" t="n"/>
      <c r="D4" s="19" t="n"/>
    </row>
    <row r="5" ht="42" customHeight="1">
      <c r="A5" s="20" t="inlineStr">
        <is>
          <t>Not</t>
        </is>
      </c>
      <c r="B5" s="13" t="inlineStr">
        <is>
          <t>Hareket tablosu append-only olmalı: HareketID, TarihSaat, Şube/Depo, MalzemeID, HareketTipi, Miktar, Birim, AlışBirimFiyat, ParaBirimi, Kur, BelgeNo.</t>
        </is>
      </c>
      <c r="C5" s="7" t="n"/>
      <c r="D5" s="7" t="n"/>
    </row>
    <row r="6" ht="42" customHeight="1">
      <c r="A6" s="20" t="inlineStr">
        <is>
          <t>Not</t>
        </is>
      </c>
      <c r="B6" s="13" t="inlineStr">
        <is>
          <t>MalzemeID ve birim dönüşümü sabit olmalı. kg, gram, litre gibi reçete birimleri alış birimine çevrilmeden maliyet doğru hesaplanmaz.</t>
        </is>
      </c>
      <c r="C6" s="7" t="n"/>
      <c r="D6" s="7" t="n"/>
    </row>
    <row r="7" ht="42" customHeight="1">
      <c r="A7" s="20" t="inlineStr">
        <is>
          <t>Not</t>
        </is>
      </c>
      <c r="B7" s="13" t="inlineStr">
        <is>
          <t>Sıralama anahtarı: MalzemeID + Şube/Depo + TarihSaat + HareketID. Aynı saniyede birden fazla kayıt varsa HareketID kesin sıra verir.</t>
        </is>
      </c>
      <c r="C7" s="7" t="n"/>
      <c r="D7" s="7" t="n"/>
    </row>
    <row r="9">
      <c r="A9" s="19" t="inlineStr">
        <is>
          <t>2. Ağırlıklı Ortalama</t>
        </is>
      </c>
      <c r="B9" s="19" t="n"/>
      <c r="C9" s="19" t="n"/>
      <c r="D9" s="19" t="n"/>
    </row>
    <row r="10" ht="42" customHeight="1">
      <c r="A10" s="20" t="inlineStr">
        <is>
          <t>Not</t>
        </is>
      </c>
      <c r="B10" s="13" t="inlineStr">
        <is>
          <t>Tutulan state: StokMiktarı(Q), StokTutarı(V), AnlıkBirimMaliyet(C).</t>
        </is>
      </c>
      <c r="C10" s="7" t="n"/>
      <c r="D10" s="7" t="n"/>
    </row>
    <row r="11" ht="42" customHeight="1">
      <c r="A11" s="20" t="inlineStr">
        <is>
          <t>Not</t>
        </is>
      </c>
      <c r="B11" s="13" t="inlineStr">
        <is>
          <t>Alışta: Q=Q+AlışMiktarı; V=V+AlışMiktarı*AlışFiyatı; C=V/Q.</t>
        </is>
      </c>
      <c r="C11" s="7" t="n"/>
      <c r="D11" s="7" t="n"/>
    </row>
    <row r="12" ht="42" customHeight="1">
      <c r="A12" s="20" t="inlineStr">
        <is>
          <t>Not</t>
        </is>
      </c>
      <c r="B12" s="13" t="inlineStr">
        <is>
          <t>Çıkışta: ÇıkışMaliyeti=ÇıkışMiktarı*C_önceki; Q=Q-ÇıkışMiktarı; V=V-ÇıkışMaliyeti; C=V/Q.</t>
        </is>
      </c>
      <c r="C12" s="7" t="n"/>
      <c r="D12" s="7" t="n"/>
    </row>
    <row r="14">
      <c r="A14" s="19" t="inlineStr">
        <is>
          <t>3. FIFO</t>
        </is>
      </c>
      <c r="B14" s="19" t="n"/>
      <c r="C14" s="19" t="n"/>
      <c r="D14" s="19" t="n"/>
    </row>
    <row r="15" ht="42" customHeight="1">
      <c r="A15" s="20" t="inlineStr">
        <is>
          <t>Not</t>
        </is>
      </c>
      <c r="B15" s="13" t="inlineStr">
        <is>
          <t>Tutulan state: açık alış lotları kuyruğu. Her lotta MalzemeID, KalanMiktar, BirimFiyat, GirişTarihi bulunur.</t>
        </is>
      </c>
      <c r="C15" s="7" t="n"/>
      <c r="D15" s="7" t="n"/>
    </row>
    <row r="16" ht="42" customHeight="1">
      <c r="A16" s="20" t="inlineStr">
        <is>
          <t>Not</t>
        </is>
      </c>
      <c r="B16" s="13" t="inlineStr">
        <is>
          <t>Çıkışta en eski lotlardan tüketilir. Bir çıkış birden fazla lota bölünebilir; maliyet her parçanın miktar*fiyat toplamıdır.</t>
        </is>
      </c>
      <c r="C16" s="7" t="n"/>
      <c r="D16" s="7" t="n"/>
    </row>
    <row r="17" ht="42" customHeight="1">
      <c r="A17" s="20" t="inlineStr">
        <is>
          <t>Not</t>
        </is>
      </c>
      <c r="B17" s="13" t="inlineStr">
        <is>
          <t>Analitik formül: KullanılanMiktar_lot=max(0, min(ÇıkışSonrası, LotEnd)-max(ÇıkışÖncesi, LotStart)).</t>
        </is>
      </c>
      <c r="C17" s="7" t="n"/>
      <c r="D17" s="7" t="n"/>
    </row>
    <row r="19">
      <c r="A19" s="19" t="inlineStr">
        <is>
          <t>4. Son Alış Fiyatı</t>
        </is>
      </c>
      <c r="B19" s="19" t="n"/>
      <c r="C19" s="19" t="n"/>
      <c r="D19" s="19" t="n"/>
    </row>
    <row r="20" ht="42" customHeight="1">
      <c r="A20" s="20" t="inlineStr">
        <is>
          <t>Not</t>
        </is>
      </c>
      <c r="B20" s="13" t="inlineStr">
        <is>
          <t>Tutulan state: ürün bazında LastPurchasePrice. Her alış faturası geldiğinde güncellenir.</t>
        </is>
      </c>
      <c r="C20" s="7" t="n"/>
      <c r="D20" s="7" t="n"/>
    </row>
    <row r="21" ht="42" customHeight="1">
      <c r="A21" s="20" t="inlineStr">
        <is>
          <t>Not</t>
        </is>
      </c>
      <c r="B21" s="13" t="inlineStr">
        <is>
          <t>Çıkışta: ÇıkışMaliyeti=ÇıkışMiktarı*LastPurchasePrice. Reçete maliyeti de aynı cari fiyatı okur.</t>
        </is>
      </c>
      <c r="C21" s="7" t="n"/>
      <c r="D21" s="7" t="n"/>
    </row>
    <row r="22" ht="42" customHeight="1">
      <c r="A22" s="20" t="inlineStr">
        <is>
          <t>Not</t>
        </is>
      </c>
      <c r="B22" s="13" t="inlineStr">
        <is>
          <t>En kolay ölçeklenen yöntemdir; ancak stok defterindeki fiili maliyetle teorik yenileme maliyeti ayrıştırılmalıdır.</t>
        </is>
      </c>
      <c r="C22" s="7" t="n"/>
      <c r="D22" s="7" t="n"/>
    </row>
    <row r="24">
      <c r="A24" s="19" t="inlineStr">
        <is>
          <t>5. Excel performansı</t>
        </is>
      </c>
      <c r="B24" s="19" t="n"/>
      <c r="C24" s="19" t="n"/>
      <c r="D24" s="19" t="n"/>
    </row>
    <row r="25" ht="42" customHeight="1">
      <c r="A25" s="20" t="inlineStr">
        <is>
          <t>Not</t>
        </is>
      </c>
      <c r="B25" s="13" t="inlineStr">
        <is>
          <t>Excel satır limiti 1.048.576'dır. Bu sınırı aşan veride ham hareketler SQL/BigQuery/PostgreSQL/DataConnect gibi bir yerde kalmalı; Excel özet ve kontrol için kullanılmalıdır.</t>
        </is>
      </c>
      <c r="C25" s="7" t="n"/>
      <c r="D25" s="7" t="n"/>
    </row>
    <row r="26" ht="42" customHeight="1">
      <c r="A26" s="20" t="inlineStr">
        <is>
          <t>Not</t>
        </is>
      </c>
      <c r="B26" s="13" t="inlineStr">
        <is>
          <t>Milyon satırlık Excel'de her satıra SUMIFS/XLOOKUP ile tüm geçmişi taratmak yavaştır. Sıralı veri + üst satırdan devam eden formül daha iyi ölçeklenir.</t>
        </is>
      </c>
      <c r="C26" s="7" t="n"/>
      <c r="D26" s="7" t="n"/>
    </row>
    <row r="27" ht="42" customHeight="1">
      <c r="A27" s="20" t="inlineStr">
        <is>
          <t>Not</t>
        </is>
      </c>
      <c r="B27" s="13" t="inlineStr">
        <is>
          <t>Power Query ile veriyi parçalara ayırıp ürün bazında gruplayın; Power Pivot ölçüleriyle raporlayın. FIFO için uygulama servisinde lot tüketim tablosu üretmek en temiz yoldur.</t>
        </is>
      </c>
      <c r="C27" s="7" t="n"/>
      <c r="D27" s="7" t="n"/>
    </row>
    <row r="29">
      <c r="A29" s="19" t="inlineStr">
        <is>
          <t>6. Kontrol kuralları</t>
        </is>
      </c>
      <c r="B29" s="19" t="n"/>
      <c r="C29" s="19" t="n"/>
      <c r="D29" s="19" t="n"/>
    </row>
    <row r="30" ht="42" customHeight="1">
      <c r="A30" s="20" t="inlineStr">
        <is>
          <t>Not</t>
        </is>
      </c>
      <c r="B30" s="13" t="inlineStr">
        <is>
          <t>Mal kabul faturası sisteme geç girerse, o günkü satış maliyetleri eski fiyatla hesaplanır. Anlık entegrasyon şarttır.</t>
        </is>
      </c>
      <c r="C30" s="7" t="n"/>
      <c r="D30" s="7" t="n"/>
    </row>
    <row r="31" ht="42" customHeight="1">
      <c r="A31" s="20" t="inlineStr">
        <is>
          <t>Not</t>
        </is>
      </c>
      <c r="B31" s="13" t="inlineStr">
        <is>
          <t>Fire/yield reçetede ayrı ele alınmalıdır. Örneğin net 1 kg kullanılabilir et için %80 yield varsa maliyete esas alış miktarı 1/0,80=1,25 kg olur.</t>
        </is>
      </c>
      <c r="C31" s="7" t="n"/>
      <c r="D31" s="7" t="n"/>
    </row>
    <row r="32" ht="42" customHeight="1">
      <c r="A32" s="20" t="inlineStr">
        <is>
          <t>Not</t>
        </is>
      </c>
      <c r="B32" s="13" t="inlineStr">
        <is>
          <t>Negatif stok uyarısı kurulmalıdır. Negatif stok, hangi yöntem seçilirse seçilsin maliyeti bozar.</t>
        </is>
      </c>
      <c r="C32" s="7" t="n"/>
      <c r="D32" s="7" t="n"/>
    </row>
    <row r="35" ht="34" customHeight="1">
      <c r="A35" s="5" t="inlineStr">
        <is>
          <t>Yöntem</t>
        </is>
      </c>
      <c r="B35" s="5" t="inlineStr">
        <is>
          <t>Snapshot/state</t>
        </is>
      </c>
      <c r="C35" s="5" t="inlineStr">
        <is>
          <t>Çıkış maliyeti</t>
        </is>
      </c>
      <c r="D35" s="5" t="inlineStr">
        <is>
          <t>Büyük veride önerilen işlem</t>
        </is>
      </c>
    </row>
    <row r="36">
      <c r="A36" s="7" t="inlineStr">
        <is>
          <t>Ağırlıklı Ortalama</t>
        </is>
      </c>
      <c r="B36" s="7" t="inlineStr">
        <is>
          <t>Q, V, C</t>
        </is>
      </c>
      <c r="C36" s="7" t="inlineStr">
        <is>
          <t>Çıkış*C_önceki</t>
        </is>
      </c>
      <c r="D36" s="7" t="inlineStr">
        <is>
          <t>Malzeme bazlı akan bakiye veya günlük snapshot</t>
        </is>
      </c>
    </row>
    <row r="37">
      <c r="A37" s="7" t="inlineStr">
        <is>
          <t>FIFO</t>
        </is>
      </c>
      <c r="B37" s="7" t="inlineStr">
        <is>
          <t>Açık lot kuyruğu</t>
        </is>
      </c>
      <c r="C37" s="7" t="inlineStr">
        <is>
          <t>Lot parçalarının miktar*fiyat toplamı</t>
        </is>
      </c>
      <c r="D37" s="7" t="inlineStr">
        <is>
          <t>Lot tüketim tablosu; satış satırı gerekirse birden çok lota bölünür</t>
        </is>
      </c>
    </row>
    <row r="38">
      <c r="A38" s="7" t="inlineStr">
        <is>
          <t>Son Alış</t>
        </is>
      </c>
      <c r="B38" s="7" t="inlineStr">
        <is>
          <t>LastPurchasePrice</t>
        </is>
      </c>
      <c r="C38" s="7" t="inlineStr">
        <is>
          <t>Çıkış*LastPurchasePrice</t>
        </is>
      </c>
      <c r="D38" s="7" t="inlineStr">
        <is>
          <t>Ürün master fiyat alanı; alışta güncelle, satışta oku</t>
        </is>
      </c>
    </row>
    <row r="40">
      <c r="A40" s="8" t="inlineStr">
        <is>
          <t>Hazırlanma tarihi: 2026-06-11 | Not: Formüller İngilizce Excel fonksiyon adlarıyla yazılır; Türkçe Excel arayüzünde yerel adlarla görüntülenebilir.</t>
        </is>
      </c>
    </row>
  </sheetData>
  <mergeCells count="18">
    <mergeCell ref="B10:D10"/>
    <mergeCell ref="B11:D11"/>
    <mergeCell ref="B5:D5"/>
    <mergeCell ref="B15:D15"/>
    <mergeCell ref="B31:D31"/>
    <mergeCell ref="B22:D22"/>
    <mergeCell ref="B32:D32"/>
    <mergeCell ref="B17:D17"/>
    <mergeCell ref="B26:D26"/>
    <mergeCell ref="B27:D27"/>
    <mergeCell ref="B21:D21"/>
    <mergeCell ref="B30:D30"/>
    <mergeCell ref="B12:D12"/>
    <mergeCell ref="B7:D7"/>
    <mergeCell ref="B25:D25"/>
    <mergeCell ref="B6:D6"/>
    <mergeCell ref="B16:D16"/>
    <mergeCell ref="B20:D2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2" customWidth="1" min="4" max="4"/>
    <col width="10" customWidth="1" min="5" max="5"/>
    <col width="18" customWidth="1" min="6" max="6"/>
    <col width="14" customWidth="1" min="7" max="7"/>
    <col width="14" customWidth="1" min="8" max="8"/>
    <col width="15" customWidth="1" min="9" max="9"/>
    <col width="17" customWidth="1" min="10" max="10"/>
    <col width="17" customWidth="1" min="11" max="11"/>
    <col width="20" customWidth="1" min="12" max="12"/>
  </cols>
  <sheetData>
    <row r="1" ht="30" customHeight="1">
      <c r="A1" s="1" t="inlineStr">
        <is>
          <t>Reçete Maliyetine Etkisi</t>
        </is>
      </c>
    </row>
    <row r="2" ht="38" customHeight="1">
      <c r="A2" s="2" t="inlineStr">
        <is>
          <t>Aynı reçete satırları üç yöntemden gelen cari birim maliyetlerle hesaplanır. Yield/fire etkisi için maliyete esas miktar = net miktar / yield.</t>
        </is>
      </c>
    </row>
    <row r="5" ht="34" customHeight="1">
      <c r="A5" s="5" t="inlineStr">
        <is>
          <t>MenüKalemi</t>
        </is>
      </c>
      <c r="B5" s="5" t="inlineStr">
        <is>
          <t>MalzemeID</t>
        </is>
      </c>
      <c r="C5" s="5" t="inlineStr">
        <is>
          <t>Malzeme</t>
        </is>
      </c>
      <c r="D5" s="5" t="inlineStr">
        <is>
          <t>NetMiktar</t>
        </is>
      </c>
      <c r="E5" s="5" t="inlineStr">
        <is>
          <t>Yield</t>
        </is>
      </c>
      <c r="F5" s="5" t="inlineStr">
        <is>
          <t>MaliyeteEsasMiktar</t>
        </is>
      </c>
      <c r="G5" s="5" t="inlineStr">
        <is>
          <t>WACBirim</t>
        </is>
      </c>
      <c r="H5" s="5" t="inlineStr">
        <is>
          <t>FIFOBirim</t>
        </is>
      </c>
      <c r="I5" s="5" t="inlineStr">
        <is>
          <t>SonAlışBirim</t>
        </is>
      </c>
      <c r="J5" s="5" t="inlineStr">
        <is>
          <t>WACSatırMaliyeti</t>
        </is>
      </c>
      <c r="K5" s="5" t="inlineStr">
        <is>
          <t>FIFOSatırMaliyeti</t>
        </is>
      </c>
      <c r="L5" s="5" t="inlineStr">
        <is>
          <t>SonAlışSatırMaliyeti</t>
        </is>
      </c>
    </row>
    <row r="6">
      <c r="A6" s="7" t="inlineStr">
        <is>
          <t>Izgara Dana Porsiyon</t>
        </is>
      </c>
      <c r="B6" s="7" t="inlineStr">
        <is>
          <t>ET001</t>
        </is>
      </c>
      <c r="C6" s="7" t="inlineStr">
        <is>
          <t>Dana eti</t>
        </is>
      </c>
      <c r="D6" s="11" t="n">
        <v>0.25</v>
      </c>
      <c r="E6" s="21" t="n">
        <v>0.8</v>
      </c>
      <c r="F6" s="11">
        <f>IF($E6=0,0,$D6/$E6)</f>
        <v/>
      </c>
      <c r="G6" s="16">
        <f>XLOOKUP($B6,'02_Agirlikli_Ortalama'!$B:$B,'02_Agirlikli_Ortalama'!$Q:$Q,"",0,-1)</f>
        <v/>
      </c>
      <c r="H6" s="16">
        <f>XLOOKUP($B6,'03_FIFO'!$B:$B,'03_FIFO'!$Q:$Q,"",0,-1)</f>
        <v/>
      </c>
      <c r="I6" s="16">
        <f>XLOOKUP($B6,'04_Son_Alis'!$B:$B,'04_Son_Alis'!$K:$K,"",0,-1)</f>
        <v/>
      </c>
      <c r="J6" s="18">
        <f>$F6*$G6</f>
        <v/>
      </c>
      <c r="K6" s="18">
        <f>$F6*$H6</f>
        <v/>
      </c>
      <c r="L6" s="18">
        <f>$F6*$I6</f>
        <v/>
      </c>
    </row>
    <row r="7">
      <c r="A7" s="7" t="inlineStr">
        <is>
          <t>Izgara Dana Porsiyon</t>
        </is>
      </c>
      <c r="B7" s="7" t="inlineStr">
        <is>
          <t>UN001</t>
        </is>
      </c>
      <c r="C7" s="7" t="inlineStr">
        <is>
          <t>Un</t>
        </is>
      </c>
      <c r="D7" s="11" t="n">
        <v>0.03</v>
      </c>
      <c r="E7" s="21" t="n">
        <v>1</v>
      </c>
      <c r="F7" s="11">
        <f>IF($E7=0,0,$D7/$E7)</f>
        <v/>
      </c>
      <c r="G7" s="16">
        <f>XLOOKUP($B7,'02_Agirlikli_Ortalama'!$B:$B,'02_Agirlikli_Ortalama'!$Q:$Q,"",0,-1)</f>
        <v/>
      </c>
      <c r="H7" s="16">
        <f>XLOOKUP($B7,'03_FIFO'!$B:$B,'03_FIFO'!$Q:$Q,"",0,-1)</f>
        <v/>
      </c>
      <c r="I7" s="16">
        <f>XLOOKUP($B7,'04_Son_Alis'!$B:$B,'04_Son_Alis'!$K:$K,"",0,-1)</f>
        <v/>
      </c>
      <c r="J7" s="18">
        <f>$F7*$G7</f>
        <v/>
      </c>
      <c r="K7" s="18">
        <f>$F7*$H7</f>
        <v/>
      </c>
      <c r="L7" s="18">
        <f>$F7*$I7</f>
        <v/>
      </c>
    </row>
    <row r="8">
      <c r="A8" s="7" t="inlineStr">
        <is>
          <t>Kıymalı Pide</t>
        </is>
      </c>
      <c r="B8" s="7" t="inlineStr">
        <is>
          <t>ET001</t>
        </is>
      </c>
      <c r="C8" s="7" t="inlineStr">
        <is>
          <t>Dana eti</t>
        </is>
      </c>
      <c r="D8" s="11" t="n">
        <v>0.12</v>
      </c>
      <c r="E8" s="21" t="n">
        <v>0.8</v>
      </c>
      <c r="F8" s="11">
        <f>IF($E8=0,0,$D8/$E8)</f>
        <v/>
      </c>
      <c r="G8" s="16">
        <f>XLOOKUP($B8,'02_Agirlikli_Ortalama'!$B:$B,'02_Agirlikli_Ortalama'!$Q:$Q,"",0,-1)</f>
        <v/>
      </c>
      <c r="H8" s="16">
        <f>XLOOKUP($B8,'03_FIFO'!$B:$B,'03_FIFO'!$Q:$Q,"",0,-1)</f>
        <v/>
      </c>
      <c r="I8" s="16">
        <f>XLOOKUP($B8,'04_Son_Alis'!$B:$B,'04_Son_Alis'!$K:$K,"",0,-1)</f>
        <v/>
      </c>
      <c r="J8" s="18">
        <f>$F8*$G8</f>
        <v/>
      </c>
      <c r="K8" s="18">
        <f>$F8*$H8</f>
        <v/>
      </c>
      <c r="L8" s="18">
        <f>$F8*$I8</f>
        <v/>
      </c>
    </row>
    <row r="9">
      <c r="A9" s="7" t="inlineStr">
        <is>
          <t>Kıymalı Pide</t>
        </is>
      </c>
      <c r="B9" s="7" t="inlineStr">
        <is>
          <t>UN001</t>
        </is>
      </c>
      <c r="C9" s="7" t="inlineStr">
        <is>
          <t>Un</t>
        </is>
      </c>
      <c r="D9" s="11" t="n">
        <v>0.18</v>
      </c>
      <c r="E9" s="21" t="n">
        <v>1</v>
      </c>
      <c r="F9" s="11">
        <f>IF($E9=0,0,$D9/$E9)</f>
        <v/>
      </c>
      <c r="G9" s="16">
        <f>XLOOKUP($B9,'02_Agirlikli_Ortalama'!$B:$B,'02_Agirlikli_Ortalama'!$Q:$Q,"",0,-1)</f>
        <v/>
      </c>
      <c r="H9" s="16">
        <f>XLOOKUP($B9,'03_FIFO'!$B:$B,'03_FIFO'!$Q:$Q,"",0,-1)</f>
        <v/>
      </c>
      <c r="I9" s="16">
        <f>XLOOKUP($B9,'04_Son_Alis'!$B:$B,'04_Son_Alis'!$K:$K,"",0,-1)</f>
        <v/>
      </c>
      <c r="J9" s="18">
        <f>$F9*$G9</f>
        <v/>
      </c>
      <c r="K9" s="18">
        <f>$F9*$H9</f>
        <v/>
      </c>
      <c r="L9" s="18">
        <f>$F9*$I9</f>
        <v/>
      </c>
    </row>
    <row r="13">
      <c r="A13" s="3" t="inlineStr">
        <is>
          <t>Menü toplamları</t>
        </is>
      </c>
    </row>
    <row r="14" ht="34" customHeight="1">
      <c r="A14" s="5" t="inlineStr">
        <is>
          <t>MenüKalemi</t>
        </is>
      </c>
      <c r="B14" s="5" t="inlineStr">
        <is>
          <t>WAC Toplam</t>
        </is>
      </c>
      <c r="C14" s="5" t="inlineStr">
        <is>
          <t>FIFO Toplam</t>
        </is>
      </c>
      <c r="D14" s="5" t="inlineStr">
        <is>
          <t>Son Alış Toplam</t>
        </is>
      </c>
      <c r="E14" s="5" t="inlineStr">
        <is>
          <t>Son Alış - WAC Farkı</t>
        </is>
      </c>
      <c r="G14" s="9" t="inlineStr">
        <is>
          <t>Reçete notu</t>
        </is>
      </c>
      <c r="H14" s="9" t="n"/>
      <c r="I14" s="9" t="n"/>
      <c r="J14" s="9" t="n"/>
      <c r="K14" s="9" t="n"/>
    </row>
    <row r="15" ht="42" customHeight="1">
      <c r="A15" s="7" t="inlineStr">
        <is>
          <t>Izgara Dana Porsiyon</t>
        </is>
      </c>
      <c r="B15" s="18">
        <f>SUMIF($A$6:$A$9,$A15,$J$6:$J$9)</f>
        <v/>
      </c>
      <c r="C15" s="18">
        <f>SUMIF($A$6:$A$9,$A15,$K$6:$K$9)</f>
        <v/>
      </c>
      <c r="D15" s="18">
        <f>SUMIF($A$6:$A$9,$A15,$L$6:$L$9)</f>
        <v/>
      </c>
      <c r="E15" s="18">
        <f>$D15-$B15</f>
        <v/>
      </c>
      <c r="G15" s="13" t="inlineStr">
        <is>
          <t>Yield örneği: Net 0,250 kg et kullanılacaksa ve temizleme sonrası verim %80 ise maliyete esas miktar 0,250 / 0,80 = 0,3125 kg olur.</t>
        </is>
      </c>
      <c r="H15" s="13" t="n"/>
      <c r="I15" s="13" t="n"/>
      <c r="J15" s="13" t="n"/>
      <c r="K15" s="13" t="n"/>
    </row>
    <row r="16" ht="42" customHeight="1">
      <c r="A16" s="7" t="inlineStr">
        <is>
          <t>Kıymalı Pide</t>
        </is>
      </c>
      <c r="B16" s="18">
        <f>SUMIF($A$6:$A$9,$A16,$J$6:$J$9)</f>
        <v/>
      </c>
      <c r="C16" s="18">
        <f>SUMIF($A$6:$A$9,$A16,$K$6:$K$9)</f>
        <v/>
      </c>
      <c r="D16" s="18">
        <f>SUMIF($A$6:$A$9,$A16,$L$6:$L$9)</f>
        <v/>
      </c>
      <c r="E16" s="18">
        <f>$D16-$B16</f>
        <v/>
      </c>
      <c r="G16" s="13" t="inlineStr">
        <is>
          <t>Bu sayfadaki birim fiyatlar, üç yöntem sayfasındaki son cari birim maliyeti çeker. Excel açıldığında formüller otomatik hesaplanır.</t>
        </is>
      </c>
      <c r="H16" s="13" t="n"/>
      <c r="I16" s="13" t="n"/>
      <c r="J16" s="13" t="n"/>
      <c r="K16" s="13" t="n"/>
    </row>
    <row r="18">
      <c r="A18" s="8" t="inlineStr">
        <is>
          <t>Hazırlanma tarihi: 2026-06-11 | Not: Formüller İngilizce Excel fonksiyon adlarıyla yazılır; Türkçe Excel arayüzünde yerel adlarla görüntülenebilir.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2026-06-11T13:00:48Z</dcterms:created>
  <dcterms:modified xsi:type="dcterms:W3CDTF">2026-06-11T13:00:49Z</dcterms:modified>
</cp:coreProperties>
</file>