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RMSv3\"/>
    </mc:Choice>
  </mc:AlternateContent>
  <xr:revisionPtr revIDLastSave="0" documentId="13_ncr:1_{8E337D5D-A18E-4A7C-8B19-6534DD10E514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00_Ozet" sheetId="1" r:id="rId1"/>
    <sheet name="01_Ham_Veri" sheetId="2" r:id="rId2"/>
    <sheet name="02_Agirlikli_Ortalama" sheetId="3" r:id="rId3"/>
    <sheet name="03_FIFO" sheetId="4" r:id="rId4"/>
    <sheet name="04_Son_Alis" sheetId="5" r:id="rId5"/>
    <sheet name="05_Buyuk_Data_Rehberi" sheetId="6" r:id="rId6"/>
    <sheet name="06_Recete_Maliyeti" sheetId="7" r:id="rId7"/>
    <sheet name="muzo" sheetId="8" r:id="rId8"/>
  </sheets>
  <definedNames>
    <definedName name="_xlnm._FilterDatabase" localSheetId="2" hidden="1">'02_Agirlikli_Ortalama'!$A$5:$R$12</definedName>
    <definedName name="_xlnm._FilterDatabase" localSheetId="3" hidden="1">'03_FIFO'!$A$5:$AA$12</definedName>
    <definedName name="_xlnm._FilterDatabase" localSheetId="4" hidden="1">'04_Son_Alis'!$A$5:$X$12</definedName>
    <definedName name="_xlnm._FilterDatabase" localSheetId="7" hidden="1">muzo!$A$5:$AD$12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8" i="8" l="1"/>
  <c r="AA10" i="8"/>
  <c r="S11" i="8" s="1"/>
  <c r="AA11" i="8" s="1"/>
  <c r="AA6" i="8"/>
  <c r="T6" i="5"/>
  <c r="S6" i="8"/>
  <c r="S6" i="5"/>
  <c r="Q6" i="8"/>
  <c r="O6" i="8"/>
  <c r="I12" i="8"/>
  <c r="H12" i="8"/>
  <c r="I11" i="8"/>
  <c r="H11" i="8"/>
  <c r="M11" i="8" s="1"/>
  <c r="I10" i="8"/>
  <c r="W10" i="8" s="1"/>
  <c r="H10" i="8"/>
  <c r="I9" i="8"/>
  <c r="H9" i="8"/>
  <c r="M9" i="8" s="1"/>
  <c r="S9" i="8"/>
  <c r="AA9" i="8" s="1"/>
  <c r="I8" i="8"/>
  <c r="W8" i="8" s="1"/>
  <c r="H8" i="8"/>
  <c r="M8" i="8" s="1"/>
  <c r="I7" i="8"/>
  <c r="H7" i="8"/>
  <c r="M7" i="8" s="1"/>
  <c r="K6" i="8"/>
  <c r="J6" i="8"/>
  <c r="L6" i="8" s="1"/>
  <c r="I6" i="8"/>
  <c r="W6" i="8" s="1"/>
  <c r="H6" i="8"/>
  <c r="M6" i="8" s="1"/>
  <c r="F9" i="7"/>
  <c r="F8" i="7"/>
  <c r="F7" i="7"/>
  <c r="F6" i="7"/>
  <c r="R12" i="5"/>
  <c r="H12" i="5"/>
  <c r="R11" i="5"/>
  <c r="H11" i="5"/>
  <c r="T10" i="5"/>
  <c r="R10" i="5"/>
  <c r="H10" i="5"/>
  <c r="R9" i="5"/>
  <c r="H9" i="5"/>
  <c r="T8" i="5"/>
  <c r="S9" i="5" s="1"/>
  <c r="T9" i="5" s="1"/>
  <c r="S10" i="5" s="1"/>
  <c r="R8" i="5"/>
  <c r="H8" i="5"/>
  <c r="R7" i="5"/>
  <c r="H7" i="5"/>
  <c r="R6" i="5"/>
  <c r="H6" i="5"/>
  <c r="I12" i="4"/>
  <c r="H12" i="4"/>
  <c r="I11" i="4"/>
  <c r="H11" i="4"/>
  <c r="I10" i="4"/>
  <c r="W10" i="4" s="1"/>
  <c r="H10" i="4"/>
  <c r="I9" i="4"/>
  <c r="H9" i="4"/>
  <c r="I8" i="4"/>
  <c r="W8" i="4" s="1"/>
  <c r="H8" i="4"/>
  <c r="I7" i="4"/>
  <c r="H7" i="4"/>
  <c r="Q6" i="4"/>
  <c r="O6" i="4"/>
  <c r="I6" i="4"/>
  <c r="W6" i="4" s="1"/>
  <c r="H6" i="4"/>
  <c r="I12" i="3"/>
  <c r="H12" i="3"/>
  <c r="M12" i="3" s="1"/>
  <c r="I11" i="3"/>
  <c r="H11" i="3"/>
  <c r="M11" i="3" s="1"/>
  <c r="I10" i="3"/>
  <c r="H10" i="3"/>
  <c r="M10" i="3" s="1"/>
  <c r="I9" i="3"/>
  <c r="H9" i="3"/>
  <c r="M9" i="3" s="1"/>
  <c r="I8" i="3"/>
  <c r="H8" i="3"/>
  <c r="M8" i="3" s="1"/>
  <c r="I7" i="3"/>
  <c r="H7" i="3"/>
  <c r="M7" i="3" s="1"/>
  <c r="K6" i="3"/>
  <c r="J6" i="3"/>
  <c r="L6" i="3" s="1"/>
  <c r="I6" i="3"/>
  <c r="H6" i="3"/>
  <c r="M6" i="3" s="1"/>
  <c r="AB10" i="8" l="1"/>
  <c r="AB9" i="8"/>
  <c r="AB11" i="8"/>
  <c r="AC6" i="8"/>
  <c r="AB8" i="8"/>
  <c r="AB6" i="8"/>
  <c r="X6" i="8"/>
  <c r="X7" i="8" s="1"/>
  <c r="Y6" i="8"/>
  <c r="S7" i="8"/>
  <c r="AA7" i="8" s="1"/>
  <c r="AB7" i="8" s="1"/>
  <c r="R6" i="8"/>
  <c r="Q7" i="8" s="1"/>
  <c r="R7" i="8" s="1"/>
  <c r="Q8" i="8" s="1"/>
  <c r="R8" i="8" s="1"/>
  <c r="Q9" i="8" s="1"/>
  <c r="R9" i="8" s="1"/>
  <c r="Q10" i="8" s="1"/>
  <c r="R10" i="8" s="1"/>
  <c r="Q11" i="8" s="1"/>
  <c r="R11" i="8" s="1"/>
  <c r="Q12" i="8" s="1"/>
  <c r="R12" i="8" s="1"/>
  <c r="P6" i="8"/>
  <c r="O7" i="8" s="1"/>
  <c r="P7" i="8" s="1"/>
  <c r="O8" i="8" s="1"/>
  <c r="P8" i="8" s="1"/>
  <c r="O9" i="8" s="1"/>
  <c r="P9" i="8" s="1"/>
  <c r="O10" i="8" s="1"/>
  <c r="P10" i="8" s="1"/>
  <c r="O11" i="8" s="1"/>
  <c r="P11" i="8" s="1"/>
  <c r="O12" i="8" s="1"/>
  <c r="P12" i="8" s="1"/>
  <c r="X6" i="4"/>
  <c r="X7" i="4" s="1"/>
  <c r="N6" i="3"/>
  <c r="P6" i="3" s="1"/>
  <c r="K7" i="3" s="1"/>
  <c r="R6" i="4"/>
  <c r="Q7" i="4" s="1"/>
  <c r="R7" i="4" s="1"/>
  <c r="Q8" i="4" s="1"/>
  <c r="R8" i="4" s="1"/>
  <c r="Q9" i="4" s="1"/>
  <c r="R9" i="4" s="1"/>
  <c r="Q10" i="4" s="1"/>
  <c r="R10" i="4" s="1"/>
  <c r="Q11" i="4" s="1"/>
  <c r="R11" i="4" s="1"/>
  <c r="Q12" i="4" s="1"/>
  <c r="R12" i="4" s="1"/>
  <c r="U8" i="5"/>
  <c r="T6" i="8"/>
  <c r="M10" i="8"/>
  <c r="M12" i="8"/>
  <c r="N6" i="8"/>
  <c r="V6" i="5"/>
  <c r="W6" i="5" s="1"/>
  <c r="P6" i="4"/>
  <c r="O7" i="4" s="1"/>
  <c r="P7" i="4" s="1"/>
  <c r="O8" i="4" s="1"/>
  <c r="P8" i="4" s="1"/>
  <c r="O9" i="4" s="1"/>
  <c r="P9" i="4" s="1"/>
  <c r="O10" i="4" s="1"/>
  <c r="P10" i="4" s="1"/>
  <c r="O11" i="4" s="1"/>
  <c r="P11" i="4" s="1"/>
  <c r="O12" i="4" s="1"/>
  <c r="P12" i="4" s="1"/>
  <c r="S7" i="5"/>
  <c r="T7" i="5" s="1"/>
  <c r="U6" i="5"/>
  <c r="U9" i="5"/>
  <c r="O6" i="3"/>
  <c r="Y6" i="4"/>
  <c r="S11" i="5"/>
  <c r="T11" i="5" s="1"/>
  <c r="U10" i="5"/>
  <c r="AC7" i="8" l="1"/>
  <c r="AD6" i="8"/>
  <c r="W12" i="8"/>
  <c r="W9" i="8"/>
  <c r="X8" i="8"/>
  <c r="W11" i="8"/>
  <c r="W7" i="8"/>
  <c r="Y7" i="8" s="1"/>
  <c r="Y8" i="8" s="1"/>
  <c r="Z6" i="8"/>
  <c r="Z6" i="4"/>
  <c r="J7" i="8"/>
  <c r="T7" i="8" s="1"/>
  <c r="V7" i="5"/>
  <c r="V8" i="5" s="1"/>
  <c r="W8" i="5" s="1"/>
  <c r="W12" i="4"/>
  <c r="U6" i="8"/>
  <c r="W11" i="4"/>
  <c r="W7" i="4"/>
  <c r="Y7" i="4" s="1"/>
  <c r="W9" i="4"/>
  <c r="I7" i="7"/>
  <c r="L7" i="7" s="1"/>
  <c r="I9" i="7"/>
  <c r="L9" i="7" s="1"/>
  <c r="X8" i="4"/>
  <c r="Q6" i="3"/>
  <c r="J7" i="3"/>
  <c r="S8" i="5"/>
  <c r="U7" i="5"/>
  <c r="S12" i="5"/>
  <c r="T12" i="5" s="1"/>
  <c r="U11" i="5"/>
  <c r="AC8" i="8" l="1"/>
  <c r="AD7" i="8"/>
  <c r="Y9" i="8"/>
  <c r="Y10" i="8" s="1"/>
  <c r="Y11" i="8" s="1"/>
  <c r="Y12" i="8" s="1"/>
  <c r="Z7" i="8"/>
  <c r="Z8" i="8"/>
  <c r="X9" i="8"/>
  <c r="S8" i="8"/>
  <c r="K7" i="8"/>
  <c r="J8" i="8"/>
  <c r="T8" i="8" s="1"/>
  <c r="V9" i="5"/>
  <c r="W9" i="5" s="1"/>
  <c r="W7" i="5"/>
  <c r="V6" i="8"/>
  <c r="Y8" i="4"/>
  <c r="Y9" i="4" s="1"/>
  <c r="Y10" i="4" s="1"/>
  <c r="Y11" i="4" s="1"/>
  <c r="Y12" i="4" s="1"/>
  <c r="Z7" i="4"/>
  <c r="I6" i="7"/>
  <c r="L6" i="7" s="1"/>
  <c r="D15" i="7" s="1"/>
  <c r="I8" i="7"/>
  <c r="L8" i="7" s="1"/>
  <c r="D16" i="7" s="1"/>
  <c r="U12" i="5"/>
  <c r="O7" i="3"/>
  <c r="L7" i="3"/>
  <c r="N7" i="3" s="1"/>
  <c r="P7" i="3" s="1"/>
  <c r="K8" i="3" s="1"/>
  <c r="X9" i="4"/>
  <c r="AC9" i="8" l="1"/>
  <c r="AD8" i="8"/>
  <c r="Z9" i="8"/>
  <c r="X10" i="8"/>
  <c r="V10" i="5"/>
  <c r="V11" i="5" s="1"/>
  <c r="L7" i="8"/>
  <c r="Z8" i="4"/>
  <c r="J9" i="8"/>
  <c r="J8" i="3"/>
  <c r="Q7" i="3"/>
  <c r="Z9" i="4"/>
  <c r="X10" i="4"/>
  <c r="AC10" i="8" l="1"/>
  <c r="AD9" i="8"/>
  <c r="W10" i="5"/>
  <c r="Z10" i="8"/>
  <c r="X11" i="8"/>
  <c r="N7" i="8"/>
  <c r="T9" i="8"/>
  <c r="S10" i="8"/>
  <c r="W11" i="5"/>
  <c r="V12" i="5"/>
  <c r="W12" i="5" s="1"/>
  <c r="Z10" i="4"/>
  <c r="X11" i="4"/>
  <c r="L8" i="3"/>
  <c r="N8" i="3" s="1"/>
  <c r="P8" i="3" s="1"/>
  <c r="K9" i="3" s="1"/>
  <c r="O8" i="3"/>
  <c r="AC11" i="8" l="1"/>
  <c r="AD10" i="8"/>
  <c r="Z11" i="8"/>
  <c r="X12" i="8"/>
  <c r="Z12" i="8" s="1"/>
  <c r="U7" i="8"/>
  <c r="V7" i="8" s="1"/>
  <c r="J10" i="8"/>
  <c r="Q8" i="3"/>
  <c r="J9" i="3"/>
  <c r="Z11" i="4"/>
  <c r="X12" i="4"/>
  <c r="Z12" i="4" s="1"/>
  <c r="AC12" i="8" l="1"/>
  <c r="AD11" i="8"/>
  <c r="K8" i="8"/>
  <c r="T10" i="8"/>
  <c r="H6" i="7"/>
  <c r="K6" i="7" s="1"/>
  <c r="H8" i="7"/>
  <c r="K8" i="7" s="1"/>
  <c r="O9" i="3"/>
  <c r="L9" i="3"/>
  <c r="N9" i="3" s="1"/>
  <c r="P9" i="3" s="1"/>
  <c r="K10" i="3" s="1"/>
  <c r="L8" i="8" l="1"/>
  <c r="N8" i="8" s="1"/>
  <c r="J11" i="8"/>
  <c r="H9" i="7"/>
  <c r="K9" i="7" s="1"/>
  <c r="C16" i="7" s="1"/>
  <c r="H7" i="7"/>
  <c r="K7" i="7" s="1"/>
  <c r="C15" i="7" s="1"/>
  <c r="J10" i="3"/>
  <c r="Q9" i="3"/>
  <c r="U8" i="8" l="1"/>
  <c r="K9" i="8" s="1"/>
  <c r="T11" i="8"/>
  <c r="S12" i="8"/>
  <c r="AA12" i="8" s="1"/>
  <c r="L10" i="3"/>
  <c r="N10" i="3" s="1"/>
  <c r="P10" i="3" s="1"/>
  <c r="K11" i="3" s="1"/>
  <c r="O10" i="3"/>
  <c r="AB12" i="8" l="1"/>
  <c r="AD12" i="8"/>
  <c r="V8" i="8"/>
  <c r="L9" i="8"/>
  <c r="J12" i="8"/>
  <c r="Q10" i="3"/>
  <c r="J11" i="3"/>
  <c r="T12" i="8" l="1"/>
  <c r="N9" i="8"/>
  <c r="O11" i="3"/>
  <c r="L11" i="3"/>
  <c r="N11" i="3" s="1"/>
  <c r="P11" i="3" s="1"/>
  <c r="K12" i="3" s="1"/>
  <c r="U9" i="8" l="1"/>
  <c r="J12" i="3"/>
  <c r="Q11" i="3"/>
  <c r="K10" i="8" l="1"/>
  <c r="V9" i="8"/>
  <c r="L12" i="3"/>
  <c r="N12" i="3" s="1"/>
  <c r="P12" i="3" s="1"/>
  <c r="O12" i="3"/>
  <c r="Q12" i="3" l="1"/>
  <c r="G8" i="7" s="1"/>
  <c r="J8" i="7" s="1"/>
  <c r="L10" i="8"/>
  <c r="G6" i="7" l="1"/>
  <c r="J6" i="7" s="1"/>
  <c r="N10" i="8"/>
  <c r="G9" i="7"/>
  <c r="J9" i="7" s="1"/>
  <c r="B16" i="7" s="1"/>
  <c r="E16" i="7" s="1"/>
  <c r="G7" i="7"/>
  <c r="J7" i="7" s="1"/>
  <c r="B15" i="7" l="1"/>
  <c r="E15" i="7" s="1"/>
  <c r="U10" i="8"/>
  <c r="K11" i="8" l="1"/>
  <c r="V10" i="8"/>
  <c r="L11" i="8" l="1"/>
  <c r="N11" i="8" l="1"/>
  <c r="U11" i="8" l="1"/>
  <c r="K12" i="8" l="1"/>
  <c r="V11" i="8"/>
  <c r="L12" i="8" l="1"/>
  <c r="N12" i="8" l="1"/>
  <c r="U12" i="8" l="1"/>
  <c r="V12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W6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Bu örnek formül FIFO mantığını Excel içinde gösterir. Çok büyük veride aynı mantık SQL, Power Query ya da uygulama servisinde açık lot kuyruğu ile daha verimli çalışır.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W6" authorId="0" shapeId="0" xr:uid="{62B3C00B-8840-42C6-B024-0D0D8E498FB7}">
      <text>
        <r>
          <rPr>
            <sz val="11"/>
            <color theme="1"/>
            <rFont val="Calibri"/>
            <family val="2"/>
            <scheme val="minor"/>
          </rPr>
          <t>Bu örnek formül FIFO mantığını Excel içinde gösterir. Çok büyük veride aynı mantık SQL, Power Query ya da uygulama servisinde açık lot kuyruğu ile daha verimli çalışır.</t>
        </r>
      </text>
    </comment>
  </commentList>
</comments>
</file>

<file path=xl/sharedStrings.xml><?xml version="1.0" encoding="utf-8"?>
<sst xmlns="http://schemas.openxmlformats.org/spreadsheetml/2006/main" count="441" uniqueCount="183">
  <si>
    <t>Restoran Anlık Maliyet Yöntemleri</t>
  </si>
  <si>
    <t>Ağırlıklı Ortalama, FIFO ve Son Alış Fiyatı yöntemlerinin büyük veri mantığıyla formülleştirilmiş Excel çalışma kitabı.</t>
  </si>
  <si>
    <t>Dosyanın amacı</t>
  </si>
  <si>
    <t>Bir hammaddenin farklı fiyatlardan tekrar tekrar satın alındığı restoran yapısında, stoktan çıkan miktarın hangi birim maliyetle değerleneceğini göstermek. Büyük datada kritik nokta; her hareketi tek bir log tablosunda tutmak, satırları MalzemeID + TarihSaat + HareketID sırasına sokmak ve hesaplamayı ürün bazlı akan bakiye olarak yapmaktır.</t>
  </si>
  <si>
    <t>Yöntem</t>
  </si>
  <si>
    <t>Ana mantık</t>
  </si>
  <si>
    <t>Formül özeti</t>
  </si>
  <si>
    <t>Büyük veride uygulama</t>
  </si>
  <si>
    <t>Restoran yorumu</t>
  </si>
  <si>
    <t>Ağırlıklı Ortalama</t>
  </si>
  <si>
    <t>Depoda kalan stok tutarı / depoda kalan miktar = tek cari birim maliyet.</t>
  </si>
  <si>
    <t>Q_t = Q_(t-1)+Giriş-Çıkış; V_t = V_(t-1)+AlışTutarı-Çıkış*ÖncekiOrtalama; C_t = V_t/Q_t</t>
  </si>
  <si>
    <t>Ürün bazında sıralı hareket akışı ve sadece üst satırdan gelen stok/tutar. Çok büyük hacimde günlük snapshot tablosu kullanılır.</t>
  </si>
  <si>
    <t>Restoran için genelde en dengeli yöntem; porsiyon maliyetini ani sıçramadan korur.</t>
  </si>
  <si>
    <t>FIFO</t>
  </si>
  <si>
    <t>İlk alınan parti önce tüketilmiş kabul edilir. Her alış bir maliyet katmanıdır.</t>
  </si>
  <si>
    <t>Çıkış maliyeti = SUM(partiden kullanılan miktar * parti fiyatı). Kullanım miktarı kümülatif giriş/çıkış aralığı kesişimidir.</t>
  </si>
  <si>
    <t>Büyük veride açık FIFO lot kuyruğu, lot başlangıç/bitiş kümülatifi ve parti tüketim tablosu tutulur.</t>
  </si>
  <si>
    <t>Fiziki gıda akışına uyar; aynı gün içinde maliyet sıçraması yaratabilir.</t>
  </si>
  <si>
    <t>Son Alış Fiyatı</t>
  </si>
  <si>
    <t>Anlık maliyet, depodaki karışım ne olursa olsun en son fatura fiyatıdır.</t>
  </si>
  <si>
    <t>C_t = Alış varsa AlışBirimFiyat, yoksa C_(t-1); Çıkış maliyeti = Çıkış * C_t</t>
  </si>
  <si>
    <t>Ürün master/snapshot tablosunda LastPurchasePrice güncellenir; satış ve reçete maliyetleri bunu okur.</t>
  </si>
  <si>
    <t>Enflasyonist ortamda korumacı fiyatlama sağlar; stok değerini olduğundan yüksek gösterebilir.</t>
  </si>
  <si>
    <t>Dosya yapısı</t>
  </si>
  <si>
    <t>01_Ham_Veri</t>
  </si>
  <si>
    <t>Tek hareket logu: alış, tüketim, fire ve belge bilgileri.</t>
  </si>
  <si>
    <t>02_Agirlikli_Ortalama</t>
  </si>
  <si>
    <t>Canlı satır formülleriyle ağırlıklı ortalama maliyet.</t>
  </si>
  <si>
    <t>03_FIFO</t>
  </si>
  <si>
    <t>Kümülatif aralık mantığıyla FIFO çıkış maliyeti.</t>
  </si>
  <si>
    <t>04_Son_Alis</t>
  </si>
  <si>
    <t>Son fatura fiyatı üzerinden maliyetleme.</t>
  </si>
  <si>
    <t>05_Buyuk_Data_Rehberi</t>
  </si>
  <si>
    <t>Milyonlarca satır için veri modeli, formül ve performans notları.</t>
  </si>
  <si>
    <t>06_Recete_Maliyeti</t>
  </si>
  <si>
    <t>Yöntemlerin menü/reçete maliyetine etkisi.</t>
  </si>
  <si>
    <t>Hazırlanma tarihi: 2026-06-11 | Not: Formüller İngilizce Excel fonksiyon adlarıyla yazılır; Türkçe Excel arayüzünde yerel adlarla görüntülenebilir.</t>
  </si>
  <si>
    <t>Ham Veri Şablonu</t>
  </si>
  <si>
    <t>Büyük veride bu sayfa mantığı tek kaynak hareket logudur. Her satır bir stok hareketidir; silmek yerine düzeltme/iptal hareketi eklenir.</t>
  </si>
  <si>
    <t>HareketID</t>
  </si>
  <si>
    <t>TarihSaat</t>
  </si>
  <si>
    <t>MalzemeID</t>
  </si>
  <si>
    <t>Malzeme</t>
  </si>
  <si>
    <t>Birim</t>
  </si>
  <si>
    <t>HareketTipi</t>
  </si>
  <si>
    <t>Miktar</t>
  </si>
  <si>
    <t>AlışBirimFiyat</t>
  </si>
  <si>
    <t>BelgeNo</t>
  </si>
  <si>
    <t>Not</t>
  </si>
  <si>
    <t>Okuma notu</t>
  </si>
  <si>
    <t>ET001</t>
  </si>
  <si>
    <t>Dana eti</t>
  </si>
  <si>
    <t>kg</t>
  </si>
  <si>
    <t>Alış</t>
  </si>
  <si>
    <t>FAT-001</t>
  </si>
  <si>
    <t>İlk alım</t>
  </si>
  <si>
    <t>Zorunlu sıralama: MalzemeID + TarihSaat + HareketID. Üç yöntem de aynı sıralı hareket akışından beslenir.</t>
  </si>
  <si>
    <t>Tüketim</t>
  </si>
  <si>
    <t>POS-001</t>
  </si>
  <si>
    <t>Reçete tüketimi</t>
  </si>
  <si>
    <t>Alış satırında miktar ve alış birim fiyatı dolu olur. Tüketim/fire satırında fiyat boş bırakılır; maliyet seçilen yönteme göre hesaplanır.</t>
  </si>
  <si>
    <t>FAT-002</t>
  </si>
  <si>
    <t>Yeni fiyat</t>
  </si>
  <si>
    <t>Çok büyük datada bu tablo Excel yerine veritabanında tutulabilir; Excel sadece model, rapor veya doğrulama katmanı olur.</t>
  </si>
  <si>
    <t>POS-002</t>
  </si>
  <si>
    <t>Yoğun servis</t>
  </si>
  <si>
    <t>FAT-003</t>
  </si>
  <si>
    <t>Fiyat artışı</t>
  </si>
  <si>
    <t>POS-003</t>
  </si>
  <si>
    <t>Fire</t>
  </si>
  <si>
    <t>FIRE-001</t>
  </si>
  <si>
    <t>Temizleme firesi</t>
  </si>
  <si>
    <t>UN001</t>
  </si>
  <si>
    <t>Un</t>
  </si>
  <si>
    <t>FAT-010</t>
  </si>
  <si>
    <t>POS-010</t>
  </si>
  <si>
    <t>Hamur üretimi</t>
  </si>
  <si>
    <t>FAT-011</t>
  </si>
  <si>
    <t>POS-011</t>
  </si>
  <si>
    <t>FAT-012</t>
  </si>
  <si>
    <t>POS-012</t>
  </si>
  <si>
    <t>FIRE-010</t>
  </si>
  <si>
    <t>Dökülme/fire</t>
  </si>
  <si>
    <t>Ağırlıklı Ortalama Maliyet</t>
  </si>
  <si>
    <t>Restoranlar için genelde en dengeli yöntem. Formüller, aynı malzemede üst satırdaki stok miktarı ve stok tutarından devam eder.</t>
  </si>
  <si>
    <t>Büyük veri formülü: Q_t=Q_(t-1)+Giriş-Çıkış | V_t=V_(t-1)+GirişTutarı-Çıkış*ÖncekiBirimMaliyet | C_t=V_t/Q_t</t>
  </si>
  <si>
    <t>GirişMiktar</t>
  </si>
  <si>
    <t>ÇıkışMiktar</t>
  </si>
  <si>
    <t>ÖncekiStokMiktarı</t>
  </si>
  <si>
    <t>ÖncekiStokTutarı</t>
  </si>
  <si>
    <t>ÖncekiBirimMaliyet</t>
  </si>
  <si>
    <t>GirişTutarı</t>
  </si>
  <si>
    <t>ÇıkışMaliyeti</t>
  </si>
  <si>
    <t>StokMiktarı</t>
  </si>
  <si>
    <t>StokTutarı</t>
  </si>
  <si>
    <t>AnlıkBirimMaliyet</t>
  </si>
  <si>
    <t>Formül mantığı</t>
  </si>
  <si>
    <t>Ortalama maliyet stok tutarı / stok miktarıdır; çıkışlar önceki ortalama ile düşer.</t>
  </si>
  <si>
    <t>FIFO - İlk Giren İlk Çıkar</t>
  </si>
  <si>
    <t>Her alış bir maliyet katmanıdır. Çıkış maliyeti, tüketim aralığının alış katmanlarıyla kesişimine göre hesaplanır.</t>
  </si>
  <si>
    <t>Büyük veri formülü: KullanılanMiktar=max(0,min(ÇıkışSonrası,LotEnd)-max(ÇıkışÖncesi,LotStart)).</t>
  </si>
  <si>
    <t>Küm.GirişÖncesi</t>
  </si>
  <si>
    <t>Küm.GirişSonrası</t>
  </si>
  <si>
    <t>Küm.ÇıkışÖncesi</t>
  </si>
  <si>
    <t>Küm.ÇıkışSonrası</t>
  </si>
  <si>
    <t>FIFOÇıkışMaliyeti</t>
  </si>
  <si>
    <t>FIFOStokTutarı</t>
  </si>
  <si>
    <t>FIFOStokBirimMaliyeti</t>
  </si>
  <si>
    <t>FIFO maliyeti, çıkışın kümülatif tüketim aralığı ile alış katmanlarının kümülatif giriş aralığı kesiştirilerek bulunur.</t>
  </si>
  <si>
    <t>Son Alış Fiyatı Yöntemi</t>
  </si>
  <si>
    <t>Maliyet, eldeki stok karışımından bağımsız olarak en son fatura fiyatına eşitlenir. En korumacı fiyatlama yaklaşımıdır.</t>
  </si>
  <si>
    <t>Büyük veri formülü: C_t=IF(HareketTipi='Alış', AlışBirimFiyat, C_(t-1)); ÇıkışMaliyeti=Çıkış*C_t.</t>
  </si>
  <si>
    <t>ÖncekiSonAlış</t>
  </si>
  <si>
    <t>SonAlışBirimMaliyet</t>
  </si>
  <si>
    <t>TeorikStokDeğeri</t>
  </si>
  <si>
    <t>Reçete maliyeti, bu satırdan sonra son alış birim fiyatını kullanır; stok değeri teoriktir.</t>
  </si>
  <si>
    <t>Büyük Data Formülasyon Rehberi</t>
  </si>
  <si>
    <t>Milyonlarca stok hareketinde amaç, her satışta bütün geçmişi tekrar taramak değil; ürün bazlı güncel durum/snapshot üretmektir.</t>
  </si>
  <si>
    <t>1. Veri modeli</t>
  </si>
  <si>
    <t>Hareket tablosu append-only olmalı: HareketID, TarihSaat, Şube/Depo, MalzemeID, HareketTipi, Miktar, Birim, AlışBirimFiyat, ParaBirimi, Kur, BelgeNo.</t>
  </si>
  <si>
    <t>MalzemeID ve birim dönüşümü sabit olmalı. kg, gram, litre gibi reçete birimleri alış birimine çevrilmeden maliyet doğru hesaplanmaz.</t>
  </si>
  <si>
    <t>Sıralama anahtarı: MalzemeID + Şube/Depo + TarihSaat + HareketID. Aynı saniyede birden fazla kayıt varsa HareketID kesin sıra verir.</t>
  </si>
  <si>
    <t>2. Ağırlıklı Ortalama</t>
  </si>
  <si>
    <t>Tutulan state: StokMiktarı(Q), StokTutarı(V), AnlıkBirimMaliyet(C).</t>
  </si>
  <si>
    <t>Alışta: Q=Q+AlışMiktarı; V=V+AlışMiktarı*AlışFiyatı; C=V/Q.</t>
  </si>
  <si>
    <t>Çıkışta: ÇıkışMaliyeti=ÇıkışMiktarı*C_önceki; Q=Q-ÇıkışMiktarı; V=V-ÇıkışMaliyeti; C=V/Q.</t>
  </si>
  <si>
    <t>3. FIFO</t>
  </si>
  <si>
    <t>Tutulan state: açık alış lotları kuyruğu. Her lotta MalzemeID, KalanMiktar, BirimFiyat, GirişTarihi bulunur.</t>
  </si>
  <si>
    <t>Çıkışta en eski lotlardan tüketilir. Bir çıkış birden fazla lota bölünebilir; maliyet her parçanın miktar*fiyat toplamıdır.</t>
  </si>
  <si>
    <t>Analitik formül: KullanılanMiktar_lot=max(0, min(ÇıkışSonrası, LotEnd)-max(ÇıkışÖncesi, LotStart)).</t>
  </si>
  <si>
    <t>4. Son Alış Fiyatı</t>
  </si>
  <si>
    <t>Tutulan state: ürün bazında LastPurchasePrice. Her alış faturası geldiğinde güncellenir.</t>
  </si>
  <si>
    <t>Çıkışta: ÇıkışMaliyeti=ÇıkışMiktarı*LastPurchasePrice. Reçete maliyeti de aynı cari fiyatı okur.</t>
  </si>
  <si>
    <t>En kolay ölçeklenen yöntemdir; ancak stok defterindeki fiili maliyetle teorik yenileme maliyeti ayrıştırılmalıdır.</t>
  </si>
  <si>
    <t>5. Excel performansı</t>
  </si>
  <si>
    <t>Excel satır limiti 1.048.576'dır. Bu sınırı aşan veride ham hareketler SQL/BigQuery/PostgreSQL/DataConnect gibi bir yerde kalmalı; Excel özet ve kontrol için kullanılmalıdır.</t>
  </si>
  <si>
    <t>Milyon satirlik Excel'de her satira tum gecmisi taratan arama formulleri yazmak yavastir. Sirali veri + ust satirdan devam eden formul daha iyi olceklenir.</t>
  </si>
  <si>
    <t>Power Query ile veriyi parçalara ayırıp ürün bazında gruplayın; Power Pivot ölçüleriyle raporlayın. FIFO için uygulama servisinde lot tüketim tablosu üretmek en temiz yoldur.</t>
  </si>
  <si>
    <t>6. Kontrol kuralları</t>
  </si>
  <si>
    <t>Mal kabul faturası sisteme geç girerse, o günkü satış maliyetleri eski fiyatla hesaplanır. Anlık entegrasyon şarttır.</t>
  </si>
  <si>
    <t>Fire/yield reçetede ayrı ele alınmalıdır. Örneğin net 1 kg kullanılabilir et için %80 yield varsa maliyete esas alış miktarı 1/0,80=1,25 kg olur.</t>
  </si>
  <si>
    <t>Negatif stok uyarısı kurulmalıdır. Negatif stok, hangi yöntem seçilirse seçilsin maliyeti bozar.</t>
  </si>
  <si>
    <t>Snapshot/state</t>
  </si>
  <si>
    <t>Çıkış maliyeti</t>
  </si>
  <si>
    <t>Büyük veride önerilen işlem</t>
  </si>
  <si>
    <t>Q, V, C</t>
  </si>
  <si>
    <t>Çıkış*C_önceki</t>
  </si>
  <si>
    <t>Malzeme bazlı akan bakiye veya günlük snapshot</t>
  </si>
  <si>
    <t>Açık lot kuyruğu</t>
  </si>
  <si>
    <t>Lot parçalarının miktar*fiyat toplamı</t>
  </si>
  <si>
    <t>Lot tüketim tablosu; satış satırı gerekirse birden çok lota bölünür</t>
  </si>
  <si>
    <t>Son Alış</t>
  </si>
  <si>
    <t>LastPurchasePrice</t>
  </si>
  <si>
    <t>Çıkış*LastPurchasePrice</t>
  </si>
  <si>
    <t>Ürün master fiyat alanı; alışta güncelle, satışta oku</t>
  </si>
  <si>
    <t>Reçete Maliyetine Etkisi</t>
  </si>
  <si>
    <t>Aynı reçete satırları üç yöntemden gelen cari birim maliyetlerle hesaplanır. Yield/fire etkisi için maliyete esas miktar = net miktar / yield.</t>
  </si>
  <si>
    <t>MenüKalemi</t>
  </si>
  <si>
    <t>NetMiktar</t>
  </si>
  <si>
    <t>Yield</t>
  </si>
  <si>
    <t>MaliyeteEsasMiktar</t>
  </si>
  <si>
    <t>WACBirim</t>
  </si>
  <si>
    <t>FIFOBirim</t>
  </si>
  <si>
    <t>SonAlışBirim</t>
  </si>
  <si>
    <t>WACSatırMaliyeti</t>
  </si>
  <si>
    <t>FIFOSatırMaliyeti</t>
  </si>
  <si>
    <t>SonAlışSatırMaliyeti</t>
  </si>
  <si>
    <t>Izgara Dana Porsiyon</t>
  </si>
  <si>
    <t>Kıymalı Pide</t>
  </si>
  <si>
    <t>Menü toplamları</t>
  </si>
  <si>
    <t>WAC Toplam</t>
  </si>
  <si>
    <t>FIFO Toplam</t>
  </si>
  <si>
    <t>Son Alış Toplam</t>
  </si>
  <si>
    <t>Son Alış - WAC Farkı</t>
  </si>
  <si>
    <t>Reçete notu</t>
  </si>
  <si>
    <t>Yield örneği: Net 0,250 kg et kullanılacaksa ve temizleme sonrası verim %80 ise maliyete esas miktar 0,250 / 0,80 = 0,3125 kg olur.</t>
  </si>
  <si>
    <t>Bu sayfadaki birim fiyatlar, üç yöntem sayfasındaki son cari birim maliyeti çeker. Excel açıldığında formüller otomatik hesaplanır.</t>
  </si>
  <si>
    <t>Uyumluluk notu: Recete birim fiyat formulleri eski Excel surumlerinde de calisan LOOKUP mantigiyla yazildi.</t>
  </si>
  <si>
    <t>Fifo Hesabı</t>
  </si>
  <si>
    <t>Ağırlıklı Ortalama Hesabı</t>
  </si>
  <si>
    <t>Hesaplamalarda ortak kullanılan alanlar</t>
  </si>
  <si>
    <t>Son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</si>
</sst>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#,##0.000"/>
    <numFmt numFmtId="166" formatCode="#,##0.00\ &quot;TL&quot;"/>
  </numFmts>
  <fonts count="11" x14ac:knownFonts="1">
    <font>
      <sz val="11"/>
      <color theme="1"/>
      <name val="Calibri"/>
      <family val="2"/>
      <scheme val="minor"/>
    </font>
    <font>
      <b/>
      <sz val="18"/>
      <color rgb="FF1F4E79"/>
      <name val="Calibri"/>
      <family val="2"/>
      <charset val="162"/>
    </font>
    <font>
      <sz val="10"/>
      <color rgb="FF666666"/>
      <name val="Calibri"/>
      <family val="2"/>
      <charset val="162"/>
    </font>
    <font>
      <b/>
      <sz val="12"/>
      <color rgb="FF0F766E"/>
      <name val="Calibri"/>
      <family val="2"/>
      <charset val="162"/>
    </font>
    <font>
      <b/>
      <sz val="11"/>
      <color rgb="FFFFFFFF"/>
      <name val="Calibri"/>
      <family val="2"/>
      <charset val="162"/>
    </font>
    <font>
      <b/>
      <sz val="11"/>
      <color rgb="FF1F1F1F"/>
      <name val="Calibri"/>
      <family val="2"/>
      <charset val="162"/>
    </font>
    <font>
      <sz val="9"/>
      <color rgb="FF666666"/>
      <name val="Calibri"/>
      <family val="2"/>
      <charset val="162"/>
    </font>
    <font>
      <b/>
      <sz val="11"/>
      <color theme="0"/>
      <name val="Calibri"/>
      <family val="2"/>
      <charset val="16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charset val="162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6" fillId="0" borderId="0" xfId="0" applyFont="1" applyAlignment="1">
      <alignment wrapText="1"/>
    </xf>
    <xf numFmtId="0" fontId="4" fillId="3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9" fontId="0" fillId="0" borderId="2" xfId="0" applyNumberFormat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165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5" fontId="0" fillId="5" borderId="2" xfId="0" applyNumberFormat="1" applyFill="1" applyBorder="1" applyAlignment="1">
      <alignment vertical="top" wrapText="1"/>
    </xf>
    <xf numFmtId="166" fontId="0" fillId="5" borderId="2" xfId="0" applyNumberFormat="1" applyFill="1" applyBorder="1" applyAlignment="1">
      <alignment vertical="top" wrapText="1"/>
    </xf>
    <xf numFmtId="165" fontId="0" fillId="6" borderId="2" xfId="0" applyNumberFormat="1" applyFill="1" applyBorder="1" applyAlignment="1">
      <alignment vertical="top" wrapText="1"/>
    </xf>
    <xf numFmtId="166" fontId="0" fillId="6" borderId="2" xfId="0" applyNumberFormat="1" applyFill="1" applyBorder="1" applyAlignment="1">
      <alignment vertical="top" wrapText="1"/>
    </xf>
    <xf numFmtId="0" fontId="0" fillId="0" borderId="0" xfId="0"/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/>
    <xf numFmtId="0" fontId="6" fillId="0" borderId="0" xfId="0" applyFont="1"/>
    <xf numFmtId="0" fontId="0" fillId="4" borderId="2" xfId="0" applyFill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0" fillId="0" borderId="0" xfId="0" applyFill="1"/>
    <xf numFmtId="0" fontId="0" fillId="0" borderId="0" xfId="0" applyAlignment="1"/>
    <xf numFmtId="0" fontId="7" fillId="8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4" fillId="10" borderId="1" xfId="0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left"/>
    </xf>
    <xf numFmtId="165" fontId="8" fillId="11" borderId="2" xfId="0" applyNumberFormat="1" applyFont="1" applyFill="1" applyBorder="1" applyAlignment="1">
      <alignment vertical="top" wrapText="1"/>
    </xf>
    <xf numFmtId="166" fontId="8" fillId="11" borderId="2" xfId="0" applyNumberFormat="1" applyFont="1" applyFill="1" applyBorder="1" applyAlignment="1">
      <alignment vertical="top" wrapText="1"/>
    </xf>
    <xf numFmtId="165" fontId="0" fillId="11" borderId="2" xfId="0" applyNumberFormat="1" applyFill="1" applyBorder="1" applyAlignment="1">
      <alignment vertical="top" wrapText="1"/>
    </xf>
    <xf numFmtId="165" fontId="9" fillId="11" borderId="2" xfId="0" applyNumberFormat="1" applyFont="1" applyFill="1" applyBorder="1" applyAlignment="1">
      <alignment vertical="top" wrapText="1"/>
    </xf>
    <xf numFmtId="166" fontId="9" fillId="11" borderId="2" xfId="0" applyNumberFormat="1" applyFont="1" applyFill="1" applyBorder="1" applyAlignment="1">
      <alignment vertical="top" wrapText="1"/>
    </xf>
    <xf numFmtId="165" fontId="0" fillId="12" borderId="2" xfId="0" applyNumberFormat="1" applyFill="1" applyBorder="1" applyAlignment="1">
      <alignment vertical="top" wrapText="1"/>
    </xf>
    <xf numFmtId="166" fontId="0" fillId="12" borderId="2" xfId="0" applyNumberFormat="1" applyFill="1" applyBorder="1" applyAlignment="1">
      <alignment vertical="top" wrapText="1"/>
    </xf>
    <xf numFmtId="165" fontId="0" fillId="13" borderId="2" xfId="0" applyNumberFormat="1" applyFill="1" applyBorder="1" applyAlignment="1">
      <alignment vertical="top" wrapText="1"/>
    </xf>
    <xf numFmtId="0" fontId="7" fillId="9" borderId="0" xfId="0" applyFont="1" applyFill="1" applyAlignment="1"/>
    <xf numFmtId="166" fontId="0" fillId="14" borderId="2" xfId="0" applyNumberFormat="1" applyFill="1" applyBorder="1" applyAlignment="1">
      <alignment vertical="top" wrapText="1"/>
    </xf>
    <xf numFmtId="166" fontId="0" fillId="13" borderId="2" xfId="0" applyNumberFormat="1" applyFill="1" applyBorder="1" applyAlignment="1">
      <alignment vertical="top" wrapText="1"/>
    </xf>
  </cellXfs>
  <cellStyles count="1">
    <cellStyle name="Normal" xfId="0" builtinId="0"/>
  </cellStyles>
  <dxfs count="5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Ozet" displayName="tblOzet" ref="A9:E12">
  <autoFilter ref="A9:E12" xr:uid="{00000000-0009-0000-0100-000001000000}"/>
  <tableColumns count="5">
    <tableColumn id="1" xr3:uid="{00000000-0010-0000-0000-000001000000}" name="Yöntem"/>
    <tableColumn id="2" xr3:uid="{00000000-0010-0000-0000-000002000000}" name="Ana mantık"/>
    <tableColumn id="3" xr3:uid="{00000000-0010-0000-0000-000003000000}" name="Formül özeti"/>
    <tableColumn id="4" xr3:uid="{00000000-0010-0000-0000-000004000000}" name="Büyük veride uygulama"/>
    <tableColumn id="5" xr3:uid="{00000000-0010-0000-0000-000005000000}" name="Restoran yorumu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HamVeri" displayName="tblHamVeri" ref="A5:J19">
  <autoFilter ref="A5:J19" xr:uid="{00000000-0009-0000-0100-000002000000}"/>
  <tableColumns count="10">
    <tableColumn id="1" xr3:uid="{00000000-0010-0000-0100-000001000000}" name="HareketID"/>
    <tableColumn id="2" xr3:uid="{00000000-0010-0000-0100-000002000000}" name="TarihSaat"/>
    <tableColumn id="3" xr3:uid="{00000000-0010-0000-0100-000003000000}" name="MalzemeID"/>
    <tableColumn id="4" xr3:uid="{00000000-0010-0000-0100-000004000000}" name="Malzeme"/>
    <tableColumn id="5" xr3:uid="{00000000-0010-0000-0100-000005000000}" name="Birim"/>
    <tableColumn id="6" xr3:uid="{00000000-0010-0000-0100-000006000000}" name="HareketTipi"/>
    <tableColumn id="7" xr3:uid="{00000000-0010-0000-0100-000007000000}" name="Miktar"/>
    <tableColumn id="8" xr3:uid="{00000000-0010-0000-0100-000008000000}" name="AlışBirimFiyat"/>
    <tableColumn id="9" xr3:uid="{00000000-0010-0000-0100-000009000000}" name="BelgeNo"/>
    <tableColumn id="10" xr3:uid="{00000000-0010-0000-0100-00000A000000}" name="No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blBuyukDataKarsilastirma" displayName="tblBuyukDataKarsilastirma" ref="A35:D38">
  <autoFilter ref="A35:D38" xr:uid="{00000000-0009-0000-0100-000006000000}"/>
  <tableColumns count="4">
    <tableColumn id="1" xr3:uid="{00000000-0010-0000-0200-000001000000}" name="Yöntem"/>
    <tableColumn id="2" xr3:uid="{00000000-0010-0000-0200-000002000000}" name="Snapshot/state"/>
    <tableColumn id="3" xr3:uid="{00000000-0010-0000-0200-000003000000}" name="Çıkış maliyeti"/>
    <tableColumn id="4" xr3:uid="{00000000-0010-0000-0200-000004000000}" name="Büyük veride önerilen işlem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blRecete" displayName="tblRecete" ref="A5:L9">
  <autoFilter ref="A5:L9" xr:uid="{00000000-0009-0000-0100-000007000000}"/>
  <tableColumns count="12">
    <tableColumn id="1" xr3:uid="{00000000-0010-0000-0300-000001000000}" name="MenüKalemi"/>
    <tableColumn id="2" xr3:uid="{00000000-0010-0000-0300-000002000000}" name="MalzemeID"/>
    <tableColumn id="3" xr3:uid="{00000000-0010-0000-0300-000003000000}" name="Malzeme"/>
    <tableColumn id="4" xr3:uid="{00000000-0010-0000-0300-000004000000}" name="NetMiktar"/>
    <tableColumn id="5" xr3:uid="{00000000-0010-0000-0300-000005000000}" name="Yield"/>
    <tableColumn id="6" xr3:uid="{00000000-0010-0000-0300-000006000000}" name="MaliyeteEsasMiktar"/>
    <tableColumn id="7" xr3:uid="{00000000-0010-0000-0300-000007000000}" name="WACBirim"/>
    <tableColumn id="8" xr3:uid="{00000000-0010-0000-0300-000008000000}" name="FIFOBirim"/>
    <tableColumn id="9" xr3:uid="{00000000-0010-0000-0300-000009000000}" name="SonAlışBirim"/>
    <tableColumn id="10" xr3:uid="{00000000-0010-0000-0300-00000A000000}" name="WACSatırMaliyeti"/>
    <tableColumn id="11" xr3:uid="{00000000-0010-0000-0300-00000B000000}" name="FIFOSatırMaliyeti"/>
    <tableColumn id="12" xr3:uid="{00000000-0010-0000-0300-00000C000000}" name="SonAlışSatırMaliyeti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tblReceteToplam" displayName="tblReceteToplam" ref="A14:E16">
  <autoFilter ref="A14:E16" xr:uid="{00000000-0009-0000-0100-000008000000}"/>
  <tableColumns count="5">
    <tableColumn id="1" xr3:uid="{00000000-0010-0000-0400-000001000000}" name="MenüKalemi"/>
    <tableColumn id="2" xr3:uid="{00000000-0010-0000-0400-000002000000}" name="WAC Toplam"/>
    <tableColumn id="3" xr3:uid="{00000000-0010-0000-0400-000003000000}" name="FIFO Toplam"/>
    <tableColumn id="4" xr3:uid="{00000000-0010-0000-0400-000004000000}" name="Son Alış Toplam"/>
    <tableColumn id="5" xr3:uid="{00000000-0010-0000-0400-000005000000}" name="Son Alış - WAC Farkı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24" customWidth="1"/>
    <col min="2" max="5" width="42" customWidth="1"/>
  </cols>
  <sheetData>
    <row r="1" spans="1:5" ht="30" customHeight="1" x14ac:dyDescent="0.25">
      <c r="A1" s="1" t="s">
        <v>0</v>
      </c>
    </row>
    <row r="2" spans="1:5" ht="38.1" customHeight="1" x14ac:dyDescent="0.25">
      <c r="A2" s="2" t="s">
        <v>1</v>
      </c>
    </row>
    <row r="4" spans="1:5" ht="15.75" x14ac:dyDescent="0.25">
      <c r="A4" s="3" t="s">
        <v>2</v>
      </c>
    </row>
    <row r="5" spans="1:5" x14ac:dyDescent="0.25">
      <c r="A5" s="24" t="s">
        <v>3</v>
      </c>
      <c r="B5" s="25"/>
      <c r="C5" s="25"/>
      <c r="D5" s="25"/>
      <c r="E5" s="25"/>
    </row>
    <row r="6" spans="1:5" x14ac:dyDescent="0.25">
      <c r="A6" s="25"/>
      <c r="B6" s="25"/>
      <c r="C6" s="25"/>
      <c r="D6" s="25"/>
      <c r="E6" s="25"/>
    </row>
    <row r="9" spans="1:5" ht="33.950000000000003" customHeight="1" x14ac:dyDescent="0.25">
      <c r="A9" s="4" t="s">
        <v>4</v>
      </c>
      <c r="B9" s="4" t="s">
        <v>5</v>
      </c>
      <c r="C9" s="4" t="s">
        <v>6</v>
      </c>
      <c r="D9" s="4" t="s">
        <v>7</v>
      </c>
      <c r="E9" s="4" t="s">
        <v>8</v>
      </c>
    </row>
    <row r="10" spans="1:5" ht="78" customHeight="1" x14ac:dyDescent="0.25">
      <c r="A10" s="5" t="s">
        <v>9</v>
      </c>
      <c r="B10" s="6" t="s">
        <v>10</v>
      </c>
      <c r="C10" s="6" t="s">
        <v>11</v>
      </c>
      <c r="D10" s="6" t="s">
        <v>12</v>
      </c>
      <c r="E10" s="6" t="s">
        <v>13</v>
      </c>
    </row>
    <row r="11" spans="1:5" ht="78" customHeight="1" x14ac:dyDescent="0.25">
      <c r="A11" s="5" t="s">
        <v>14</v>
      </c>
      <c r="B11" s="6" t="s">
        <v>15</v>
      </c>
      <c r="C11" s="6" t="s">
        <v>16</v>
      </c>
      <c r="D11" s="6" t="s">
        <v>17</v>
      </c>
      <c r="E11" s="6" t="s">
        <v>18</v>
      </c>
    </row>
    <row r="12" spans="1:5" ht="78" customHeight="1" x14ac:dyDescent="0.25">
      <c r="A12" s="5" t="s">
        <v>19</v>
      </c>
      <c r="B12" s="6" t="s">
        <v>20</v>
      </c>
      <c r="C12" s="6" t="s">
        <v>21</v>
      </c>
      <c r="D12" s="6" t="s">
        <v>22</v>
      </c>
      <c r="E12" s="6" t="s">
        <v>23</v>
      </c>
    </row>
    <row r="15" spans="1:5" ht="15.75" x14ac:dyDescent="0.25">
      <c r="A15" s="3" t="s">
        <v>24</v>
      </c>
    </row>
    <row r="16" spans="1:5" ht="30" x14ac:dyDescent="0.25">
      <c r="A16" s="5" t="s">
        <v>25</v>
      </c>
      <c r="B16" s="6" t="s">
        <v>26</v>
      </c>
    </row>
    <row r="17" spans="1:2" ht="30" x14ac:dyDescent="0.25">
      <c r="A17" s="5" t="s">
        <v>27</v>
      </c>
      <c r="B17" s="6" t="s">
        <v>28</v>
      </c>
    </row>
    <row r="18" spans="1:2" x14ac:dyDescent="0.25">
      <c r="A18" s="5" t="s">
        <v>29</v>
      </c>
      <c r="B18" s="6" t="s">
        <v>30</v>
      </c>
    </row>
    <row r="19" spans="1:2" x14ac:dyDescent="0.25">
      <c r="A19" s="5" t="s">
        <v>31</v>
      </c>
      <c r="B19" s="6" t="s">
        <v>32</v>
      </c>
    </row>
    <row r="20" spans="1:2" ht="30" x14ac:dyDescent="0.25">
      <c r="A20" s="5" t="s">
        <v>33</v>
      </c>
      <c r="B20" s="6" t="s">
        <v>34</v>
      </c>
    </row>
    <row r="21" spans="1:2" x14ac:dyDescent="0.25">
      <c r="A21" s="5" t="s">
        <v>35</v>
      </c>
      <c r="B21" s="6" t="s">
        <v>36</v>
      </c>
    </row>
    <row r="23" spans="1:2" ht="72.75" x14ac:dyDescent="0.25">
      <c r="A23" s="7" t="s">
        <v>37</v>
      </c>
    </row>
  </sheetData>
  <mergeCells count="1">
    <mergeCell ref="A5:E6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1" customWidth="1"/>
    <col min="2" max="2" width="18" customWidth="1"/>
    <col min="3" max="3" width="12" customWidth="1"/>
    <col min="4" max="4" width="16" customWidth="1"/>
    <col min="5" max="5" width="8" customWidth="1"/>
    <col min="6" max="6" width="13" customWidth="1"/>
    <col min="7" max="7" width="12" customWidth="1"/>
    <col min="8" max="8" width="15" customWidth="1"/>
    <col min="9" max="9" width="13" customWidth="1"/>
    <col min="10" max="10" width="24" customWidth="1"/>
  </cols>
  <sheetData>
    <row r="1" spans="1:15" ht="30" customHeight="1" x14ac:dyDescent="0.25">
      <c r="A1" s="1" t="s">
        <v>38</v>
      </c>
    </row>
    <row r="2" spans="1:15" ht="38.1" customHeight="1" x14ac:dyDescent="0.25">
      <c r="A2" s="2" t="s">
        <v>39</v>
      </c>
    </row>
    <row r="5" spans="1:15" ht="33.950000000000003" customHeight="1" x14ac:dyDescent="0.25">
      <c r="A5" s="4" t="s">
        <v>40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46</v>
      </c>
      <c r="H5" s="4" t="s">
        <v>47</v>
      </c>
      <c r="I5" s="4" t="s">
        <v>48</v>
      </c>
      <c r="J5" s="4" t="s">
        <v>49</v>
      </c>
      <c r="L5" s="8" t="s">
        <v>50</v>
      </c>
      <c r="M5" s="8"/>
      <c r="N5" s="8"/>
      <c r="O5" s="8"/>
    </row>
    <row r="6" spans="1:15" ht="42" customHeight="1" x14ac:dyDescent="0.25">
      <c r="A6" s="6">
        <v>1</v>
      </c>
      <c r="B6" s="13">
        <v>46023.333333333343</v>
      </c>
      <c r="C6" s="6" t="s">
        <v>51</v>
      </c>
      <c r="D6" s="6" t="s">
        <v>52</v>
      </c>
      <c r="E6" s="6" t="s">
        <v>53</v>
      </c>
      <c r="F6" s="6" t="s">
        <v>54</v>
      </c>
      <c r="G6" s="14">
        <v>10</v>
      </c>
      <c r="H6" s="15">
        <v>400</v>
      </c>
      <c r="I6" s="6" t="s">
        <v>55</v>
      </c>
      <c r="J6" s="6" t="s">
        <v>56</v>
      </c>
      <c r="L6" s="9" t="s">
        <v>57</v>
      </c>
      <c r="M6" s="9"/>
      <c r="N6" s="9"/>
      <c r="O6" s="9"/>
    </row>
    <row r="7" spans="1:15" ht="42" customHeight="1" x14ac:dyDescent="0.25">
      <c r="A7" s="6">
        <v>2</v>
      </c>
      <c r="B7" s="13">
        <v>46023.770833333343</v>
      </c>
      <c r="C7" s="6" t="s">
        <v>51</v>
      </c>
      <c r="D7" s="6" t="s">
        <v>52</v>
      </c>
      <c r="E7" s="6" t="s">
        <v>53</v>
      </c>
      <c r="F7" s="6" t="s">
        <v>58</v>
      </c>
      <c r="G7" s="14">
        <v>3</v>
      </c>
      <c r="H7" s="15"/>
      <c r="I7" s="6" t="s">
        <v>59</v>
      </c>
      <c r="J7" s="6" t="s">
        <v>60</v>
      </c>
      <c r="L7" s="9" t="s">
        <v>61</v>
      </c>
      <c r="M7" s="9"/>
      <c r="N7" s="9"/>
      <c r="O7" s="9"/>
    </row>
    <row r="8" spans="1:15" ht="42" customHeight="1" x14ac:dyDescent="0.25">
      <c r="A8" s="6">
        <v>3</v>
      </c>
      <c r="B8" s="13">
        <v>46024.385416666657</v>
      </c>
      <c r="C8" s="6" t="s">
        <v>51</v>
      </c>
      <c r="D8" s="6" t="s">
        <v>52</v>
      </c>
      <c r="E8" s="6" t="s">
        <v>53</v>
      </c>
      <c r="F8" s="6" t="s">
        <v>54</v>
      </c>
      <c r="G8" s="14">
        <v>20</v>
      </c>
      <c r="H8" s="15">
        <v>460</v>
      </c>
      <c r="I8" s="6" t="s">
        <v>62</v>
      </c>
      <c r="J8" s="6" t="s">
        <v>63</v>
      </c>
      <c r="L8" s="9" t="s">
        <v>64</v>
      </c>
      <c r="M8" s="9"/>
      <c r="N8" s="9"/>
      <c r="O8" s="9"/>
    </row>
    <row r="9" spans="1:15" x14ac:dyDescent="0.25">
      <c r="A9" s="6">
        <v>4</v>
      </c>
      <c r="B9" s="13">
        <v>46024.791666666657</v>
      </c>
      <c r="C9" s="6" t="s">
        <v>51</v>
      </c>
      <c r="D9" s="6" t="s">
        <v>52</v>
      </c>
      <c r="E9" s="6" t="s">
        <v>53</v>
      </c>
      <c r="F9" s="6" t="s">
        <v>58</v>
      </c>
      <c r="G9" s="14">
        <v>12</v>
      </c>
      <c r="H9" s="15"/>
      <c r="I9" s="6" t="s">
        <v>65</v>
      </c>
      <c r="J9" s="6" t="s">
        <v>66</v>
      </c>
    </row>
    <row r="10" spans="1:15" x14ac:dyDescent="0.25">
      <c r="A10" s="6">
        <v>5</v>
      </c>
      <c r="B10" s="13">
        <v>46025.388888888891</v>
      </c>
      <c r="C10" s="6" t="s">
        <v>51</v>
      </c>
      <c r="D10" s="6" t="s">
        <v>52</v>
      </c>
      <c r="E10" s="6" t="s">
        <v>53</v>
      </c>
      <c r="F10" s="6" t="s">
        <v>54</v>
      </c>
      <c r="G10" s="14">
        <v>15</v>
      </c>
      <c r="H10" s="15">
        <v>500</v>
      </c>
      <c r="I10" s="6" t="s">
        <v>67</v>
      </c>
      <c r="J10" s="6" t="s">
        <v>68</v>
      </c>
    </row>
    <row r="11" spans="1:15" x14ac:dyDescent="0.25">
      <c r="A11" s="6">
        <v>6</v>
      </c>
      <c r="B11" s="13">
        <v>46025.881944444453</v>
      </c>
      <c r="C11" s="6" t="s">
        <v>51</v>
      </c>
      <c r="D11" s="6" t="s">
        <v>52</v>
      </c>
      <c r="E11" s="6" t="s">
        <v>53</v>
      </c>
      <c r="F11" s="6" t="s">
        <v>58</v>
      </c>
      <c r="G11" s="14">
        <v>18</v>
      </c>
      <c r="H11" s="15"/>
      <c r="I11" s="6" t="s">
        <v>69</v>
      </c>
      <c r="J11" s="6" t="s">
        <v>60</v>
      </c>
    </row>
    <row r="12" spans="1:15" x14ac:dyDescent="0.25">
      <c r="A12" s="6">
        <v>7</v>
      </c>
      <c r="B12" s="13">
        <v>46026.458333333343</v>
      </c>
      <c r="C12" s="6" t="s">
        <v>51</v>
      </c>
      <c r="D12" s="6" t="s">
        <v>52</v>
      </c>
      <c r="E12" s="6" t="s">
        <v>53</v>
      </c>
      <c r="F12" s="6" t="s">
        <v>70</v>
      </c>
      <c r="G12" s="14">
        <v>1</v>
      </c>
      <c r="H12" s="15"/>
      <c r="I12" s="6" t="s">
        <v>71</v>
      </c>
      <c r="J12" s="6" t="s">
        <v>72</v>
      </c>
    </row>
    <row r="13" spans="1:15" x14ac:dyDescent="0.25">
      <c r="A13" s="6">
        <v>8</v>
      </c>
      <c r="B13" s="13">
        <v>46023.3125</v>
      </c>
      <c r="C13" s="6" t="s">
        <v>73</v>
      </c>
      <c r="D13" s="6" t="s">
        <v>74</v>
      </c>
      <c r="E13" s="6" t="s">
        <v>53</v>
      </c>
      <c r="F13" s="6" t="s">
        <v>54</v>
      </c>
      <c r="G13" s="14">
        <v>50</v>
      </c>
      <c r="H13" s="15">
        <v>18</v>
      </c>
      <c r="I13" s="6" t="s">
        <v>75</v>
      </c>
      <c r="J13" s="6" t="s">
        <v>56</v>
      </c>
    </row>
    <row r="14" spans="1:15" x14ac:dyDescent="0.25">
      <c r="A14" s="6">
        <v>9</v>
      </c>
      <c r="B14" s="13">
        <v>46023.833333333343</v>
      </c>
      <c r="C14" s="6" t="s">
        <v>73</v>
      </c>
      <c r="D14" s="6" t="s">
        <v>74</v>
      </c>
      <c r="E14" s="6" t="s">
        <v>53</v>
      </c>
      <c r="F14" s="6" t="s">
        <v>58</v>
      </c>
      <c r="G14" s="14">
        <v>12</v>
      </c>
      <c r="H14" s="15"/>
      <c r="I14" s="6" t="s">
        <v>76</v>
      </c>
      <c r="J14" s="6" t="s">
        <v>77</v>
      </c>
    </row>
    <row r="15" spans="1:15" x14ac:dyDescent="0.25">
      <c r="A15" s="6">
        <v>10</v>
      </c>
      <c r="B15" s="13">
        <v>46024.319444444453</v>
      </c>
      <c r="C15" s="6" t="s">
        <v>73</v>
      </c>
      <c r="D15" s="6" t="s">
        <v>74</v>
      </c>
      <c r="E15" s="6" t="s">
        <v>53</v>
      </c>
      <c r="F15" s="6" t="s">
        <v>54</v>
      </c>
      <c r="G15" s="14">
        <v>60</v>
      </c>
      <c r="H15" s="15">
        <v>21</v>
      </c>
      <c r="I15" s="6" t="s">
        <v>78</v>
      </c>
      <c r="J15" s="6" t="s">
        <v>63</v>
      </c>
    </row>
    <row r="16" spans="1:15" x14ac:dyDescent="0.25">
      <c r="A16" s="6">
        <v>11</v>
      </c>
      <c r="B16" s="13">
        <v>46024.875</v>
      </c>
      <c r="C16" s="6" t="s">
        <v>73</v>
      </c>
      <c r="D16" s="6" t="s">
        <v>74</v>
      </c>
      <c r="E16" s="6" t="s">
        <v>53</v>
      </c>
      <c r="F16" s="6" t="s">
        <v>58</v>
      </c>
      <c r="G16" s="14">
        <v>40</v>
      </c>
      <c r="H16" s="15"/>
      <c r="I16" s="6" t="s">
        <v>79</v>
      </c>
      <c r="J16" s="6" t="s">
        <v>77</v>
      </c>
    </row>
    <row r="17" spans="1:10" x14ac:dyDescent="0.25">
      <c r="A17" s="6">
        <v>12</v>
      </c>
      <c r="B17" s="13">
        <v>46025.340277777781</v>
      </c>
      <c r="C17" s="6" t="s">
        <v>73</v>
      </c>
      <c r="D17" s="6" t="s">
        <v>74</v>
      </c>
      <c r="E17" s="6" t="s">
        <v>53</v>
      </c>
      <c r="F17" s="6" t="s">
        <v>54</v>
      </c>
      <c r="G17" s="14">
        <v>40</v>
      </c>
      <c r="H17" s="15">
        <v>24</v>
      </c>
      <c r="I17" s="6" t="s">
        <v>80</v>
      </c>
      <c r="J17" s="6" t="s">
        <v>68</v>
      </c>
    </row>
    <row r="18" spans="1:10" x14ac:dyDescent="0.25">
      <c r="A18" s="6">
        <v>13</v>
      </c>
      <c r="B18" s="13">
        <v>46026.854166666657</v>
      </c>
      <c r="C18" s="6" t="s">
        <v>73</v>
      </c>
      <c r="D18" s="6" t="s">
        <v>74</v>
      </c>
      <c r="E18" s="6" t="s">
        <v>53</v>
      </c>
      <c r="F18" s="6" t="s">
        <v>58</v>
      </c>
      <c r="G18" s="14">
        <v>55</v>
      </c>
      <c r="H18" s="15"/>
      <c r="I18" s="6" t="s">
        <v>81</v>
      </c>
      <c r="J18" s="6" t="s">
        <v>77</v>
      </c>
    </row>
    <row r="19" spans="1:10" x14ac:dyDescent="0.25">
      <c r="A19" s="6">
        <v>14</v>
      </c>
      <c r="B19" s="13">
        <v>46027.416666666657</v>
      </c>
      <c r="C19" s="6" t="s">
        <v>73</v>
      </c>
      <c r="D19" s="6" t="s">
        <v>74</v>
      </c>
      <c r="E19" s="6" t="s">
        <v>53</v>
      </c>
      <c r="F19" s="6" t="s">
        <v>70</v>
      </c>
      <c r="G19" s="14">
        <v>2</v>
      </c>
      <c r="H19" s="15"/>
      <c r="I19" s="6" t="s">
        <v>82</v>
      </c>
      <c r="J19" s="6" t="s">
        <v>83</v>
      </c>
    </row>
    <row r="21" spans="1:10" ht="168.75" x14ac:dyDescent="0.25">
      <c r="A21" s="7" t="s">
        <v>37</v>
      </c>
    </row>
  </sheetData>
  <dataValidations count="1">
    <dataValidation type="list" sqref="F6:F505" xr:uid="{00000000-0002-0000-0100-000000000000}">
      <formula1>"Alış,Tüketim,Fire"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showGridLines="0" topLeftCell="D1" workbookViewId="0">
      <pane ySplit="5" topLeftCell="A6" activePane="bottomLeft" state="frozen"/>
      <selection pane="bottomLeft" activeCell="Q12" sqref="Q6:Q12"/>
    </sheetView>
  </sheetViews>
  <sheetFormatPr defaultRowHeight="15" x14ac:dyDescent="0.25"/>
  <cols>
    <col min="1" max="1" width="11" customWidth="1"/>
    <col min="2" max="2" width="12" customWidth="1"/>
    <col min="3" max="3" width="16" customWidth="1"/>
    <col min="4" max="4" width="18" customWidth="1"/>
    <col min="5" max="5" width="13" customWidth="1"/>
    <col min="6" max="6" width="10" customWidth="1"/>
    <col min="7" max="7" width="15" customWidth="1"/>
    <col min="8" max="9" width="12" customWidth="1"/>
    <col min="10" max="11" width="17" customWidth="1"/>
    <col min="12" max="12" width="18" customWidth="1"/>
    <col min="13" max="14" width="14" customWidth="1"/>
    <col min="15" max="15" width="13" customWidth="1"/>
    <col min="16" max="16" width="14" customWidth="1"/>
    <col min="17" max="17" width="18" customWidth="1"/>
    <col min="18" max="18" width="42" customWidth="1"/>
  </cols>
  <sheetData>
    <row r="1" spans="1:18" ht="30" customHeight="1" x14ac:dyDescent="0.25">
      <c r="A1" s="1" t="s">
        <v>84</v>
      </c>
    </row>
    <row r="2" spans="1:18" ht="38.1" customHeight="1" x14ac:dyDescent="0.25">
      <c r="A2" s="2" t="s">
        <v>85</v>
      </c>
    </row>
    <row r="3" spans="1:18" x14ac:dyDescent="0.25">
      <c r="A3" s="26" t="s">
        <v>86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5" spans="1:18" ht="33.950000000000003" customHeight="1" x14ac:dyDescent="0.25">
      <c r="A5" s="4" t="s">
        <v>40</v>
      </c>
      <c r="B5" s="4" t="s">
        <v>42</v>
      </c>
      <c r="C5" s="4" t="s">
        <v>43</v>
      </c>
      <c r="D5" s="4" t="s">
        <v>41</v>
      </c>
      <c r="E5" s="4" t="s">
        <v>45</v>
      </c>
      <c r="F5" s="4" t="s">
        <v>46</v>
      </c>
      <c r="G5" s="4" t="s">
        <v>47</v>
      </c>
      <c r="H5" s="4" t="s">
        <v>87</v>
      </c>
      <c r="I5" s="4" t="s">
        <v>88</v>
      </c>
      <c r="J5" s="4" t="s">
        <v>89</v>
      </c>
      <c r="K5" s="4" t="s">
        <v>90</v>
      </c>
      <c r="L5" s="4" t="s">
        <v>91</v>
      </c>
      <c r="M5" s="4" t="s">
        <v>92</v>
      </c>
      <c r="N5" s="4" t="s">
        <v>93</v>
      </c>
      <c r="O5" s="4" t="s">
        <v>94</v>
      </c>
      <c r="P5" s="4" t="s">
        <v>95</v>
      </c>
      <c r="Q5" s="4" t="s">
        <v>96</v>
      </c>
      <c r="R5" s="4" t="s">
        <v>97</v>
      </c>
    </row>
    <row r="6" spans="1:18" ht="30" x14ac:dyDescent="0.25">
      <c r="A6" s="6">
        <v>1</v>
      </c>
      <c r="B6" s="6" t="s">
        <v>51</v>
      </c>
      <c r="C6" s="6" t="s">
        <v>52</v>
      </c>
      <c r="D6" s="13">
        <v>46023.333333333343</v>
      </c>
      <c r="E6" s="6" t="s">
        <v>54</v>
      </c>
      <c r="F6" s="14">
        <v>10</v>
      </c>
      <c r="G6" s="15">
        <v>400</v>
      </c>
      <c r="H6" s="16">
        <f t="shared" ref="H6:H12" si="0">IF($E6="Alış",$F6,0)</f>
        <v>10</v>
      </c>
      <c r="I6" s="16">
        <f t="shared" ref="I6:I12" si="1">IF($E6&lt;&gt;"Alış",$F6,0)</f>
        <v>0</v>
      </c>
      <c r="J6" s="16">
        <f t="shared" ref="J6:J12" si="2">IF($B6=$B5,$O5,0)</f>
        <v>0</v>
      </c>
      <c r="K6" s="17">
        <f t="shared" ref="K6:K12" si="3">IF($B6=$B5,$P5,0)</f>
        <v>0</v>
      </c>
      <c r="L6" s="17">
        <f t="shared" ref="L6:L12" si="4">IF($J6=0,0,$K6/$J6)</f>
        <v>0</v>
      </c>
      <c r="M6" s="17">
        <f t="shared" ref="M6:M12" si="5">$H6*$G6</f>
        <v>4000</v>
      </c>
      <c r="N6" s="17">
        <f t="shared" ref="N6:N12" si="6">$I6*$L6</f>
        <v>0</v>
      </c>
      <c r="O6" s="18">
        <f t="shared" ref="O6:O12" si="7">$J6+$H6-$I6</f>
        <v>10</v>
      </c>
      <c r="P6" s="19">
        <f t="shared" ref="P6:P12" si="8">$K6+$M6-$N6</f>
        <v>4000</v>
      </c>
      <c r="Q6" s="19">
        <f t="shared" ref="Q6:Q12" si="9">IF($O6=0,0,$P6/$O6)</f>
        <v>400</v>
      </c>
      <c r="R6" s="6" t="s">
        <v>98</v>
      </c>
    </row>
    <row r="7" spans="1:18" ht="30" x14ac:dyDescent="0.25">
      <c r="A7" s="6">
        <v>2</v>
      </c>
      <c r="B7" s="6" t="s">
        <v>51</v>
      </c>
      <c r="C7" s="6" t="s">
        <v>52</v>
      </c>
      <c r="D7" s="13">
        <v>46023.770833333343</v>
      </c>
      <c r="E7" s="6" t="s">
        <v>58</v>
      </c>
      <c r="F7" s="14">
        <v>3</v>
      </c>
      <c r="G7" s="15"/>
      <c r="H7" s="16">
        <f t="shared" si="0"/>
        <v>0</v>
      </c>
      <c r="I7" s="16">
        <f t="shared" si="1"/>
        <v>3</v>
      </c>
      <c r="J7" s="16">
        <f t="shared" si="2"/>
        <v>10</v>
      </c>
      <c r="K7" s="17">
        <f t="shared" si="3"/>
        <v>4000</v>
      </c>
      <c r="L7" s="17">
        <f t="shared" si="4"/>
        <v>400</v>
      </c>
      <c r="M7" s="17">
        <f t="shared" si="5"/>
        <v>0</v>
      </c>
      <c r="N7" s="17">
        <f t="shared" si="6"/>
        <v>1200</v>
      </c>
      <c r="O7" s="18">
        <f t="shared" si="7"/>
        <v>7</v>
      </c>
      <c r="P7" s="19">
        <f t="shared" si="8"/>
        <v>2800</v>
      </c>
      <c r="Q7" s="19">
        <f t="shared" si="9"/>
        <v>400</v>
      </c>
      <c r="R7" s="6" t="s">
        <v>98</v>
      </c>
    </row>
    <row r="8" spans="1:18" ht="30" x14ac:dyDescent="0.25">
      <c r="A8" s="6">
        <v>3</v>
      </c>
      <c r="B8" s="6" t="s">
        <v>51</v>
      </c>
      <c r="C8" s="6" t="s">
        <v>52</v>
      </c>
      <c r="D8" s="13">
        <v>46024.385416666657</v>
      </c>
      <c r="E8" s="6" t="s">
        <v>54</v>
      </c>
      <c r="F8" s="14">
        <v>20</v>
      </c>
      <c r="G8" s="15">
        <v>460</v>
      </c>
      <c r="H8" s="16">
        <f t="shared" si="0"/>
        <v>20</v>
      </c>
      <c r="I8" s="16">
        <f t="shared" si="1"/>
        <v>0</v>
      </c>
      <c r="J8" s="16">
        <f t="shared" si="2"/>
        <v>7</v>
      </c>
      <c r="K8" s="17">
        <f t="shared" si="3"/>
        <v>2800</v>
      </c>
      <c r="L8" s="17">
        <f t="shared" si="4"/>
        <v>400</v>
      </c>
      <c r="M8" s="17">
        <f t="shared" si="5"/>
        <v>9200</v>
      </c>
      <c r="N8" s="17">
        <f t="shared" si="6"/>
        <v>0</v>
      </c>
      <c r="O8" s="18">
        <f t="shared" si="7"/>
        <v>27</v>
      </c>
      <c r="P8" s="19">
        <f t="shared" si="8"/>
        <v>12000</v>
      </c>
      <c r="Q8" s="19">
        <f t="shared" si="9"/>
        <v>444.44444444444446</v>
      </c>
      <c r="R8" s="6" t="s">
        <v>98</v>
      </c>
    </row>
    <row r="9" spans="1:18" ht="30" x14ac:dyDescent="0.25">
      <c r="A9" s="6">
        <v>4</v>
      </c>
      <c r="B9" s="6" t="s">
        <v>51</v>
      </c>
      <c r="C9" s="6" t="s">
        <v>52</v>
      </c>
      <c r="D9" s="13">
        <v>46024.791666666657</v>
      </c>
      <c r="E9" s="6" t="s">
        <v>58</v>
      </c>
      <c r="F9" s="14">
        <v>12</v>
      </c>
      <c r="G9" s="15"/>
      <c r="H9" s="16">
        <f t="shared" si="0"/>
        <v>0</v>
      </c>
      <c r="I9" s="16">
        <f t="shared" si="1"/>
        <v>12</v>
      </c>
      <c r="J9" s="16">
        <f t="shared" si="2"/>
        <v>27</v>
      </c>
      <c r="K9" s="17">
        <f t="shared" si="3"/>
        <v>12000</v>
      </c>
      <c r="L9" s="17">
        <f t="shared" si="4"/>
        <v>444.44444444444446</v>
      </c>
      <c r="M9" s="17">
        <f t="shared" si="5"/>
        <v>0</v>
      </c>
      <c r="N9" s="17">
        <f t="shared" si="6"/>
        <v>5333.3333333333339</v>
      </c>
      <c r="O9" s="18">
        <f t="shared" si="7"/>
        <v>15</v>
      </c>
      <c r="P9" s="19">
        <f t="shared" si="8"/>
        <v>6666.6666666666661</v>
      </c>
      <c r="Q9" s="19">
        <f t="shared" si="9"/>
        <v>444.4444444444444</v>
      </c>
      <c r="R9" s="6" t="s">
        <v>98</v>
      </c>
    </row>
    <row r="10" spans="1:18" ht="30" x14ac:dyDescent="0.25">
      <c r="A10" s="6">
        <v>5</v>
      </c>
      <c r="B10" s="6" t="s">
        <v>51</v>
      </c>
      <c r="C10" s="6" t="s">
        <v>52</v>
      </c>
      <c r="D10" s="13">
        <v>46025.388888888891</v>
      </c>
      <c r="E10" s="6" t="s">
        <v>54</v>
      </c>
      <c r="F10" s="14">
        <v>15</v>
      </c>
      <c r="G10" s="15">
        <v>500</v>
      </c>
      <c r="H10" s="16">
        <f t="shared" si="0"/>
        <v>15</v>
      </c>
      <c r="I10" s="16">
        <f t="shared" si="1"/>
        <v>0</v>
      </c>
      <c r="J10" s="16">
        <f t="shared" si="2"/>
        <v>15</v>
      </c>
      <c r="K10" s="17">
        <f t="shared" si="3"/>
        <v>6666.6666666666661</v>
      </c>
      <c r="L10" s="17">
        <f t="shared" si="4"/>
        <v>444.4444444444444</v>
      </c>
      <c r="M10" s="17">
        <f t="shared" si="5"/>
        <v>7500</v>
      </c>
      <c r="N10" s="17">
        <f t="shared" si="6"/>
        <v>0</v>
      </c>
      <c r="O10" s="18">
        <f t="shared" si="7"/>
        <v>30</v>
      </c>
      <c r="P10" s="19">
        <f t="shared" si="8"/>
        <v>14166.666666666666</v>
      </c>
      <c r="Q10" s="19">
        <f t="shared" si="9"/>
        <v>472.22222222222223</v>
      </c>
      <c r="R10" s="6" t="s">
        <v>98</v>
      </c>
    </row>
    <row r="11" spans="1:18" ht="30" x14ac:dyDescent="0.25">
      <c r="A11" s="6">
        <v>6</v>
      </c>
      <c r="B11" s="6" t="s">
        <v>51</v>
      </c>
      <c r="C11" s="6" t="s">
        <v>52</v>
      </c>
      <c r="D11" s="13">
        <v>46025.881944444453</v>
      </c>
      <c r="E11" s="6" t="s">
        <v>58</v>
      </c>
      <c r="F11" s="14">
        <v>18</v>
      </c>
      <c r="G11" s="15"/>
      <c r="H11" s="16">
        <f t="shared" si="0"/>
        <v>0</v>
      </c>
      <c r="I11" s="16">
        <f t="shared" si="1"/>
        <v>18</v>
      </c>
      <c r="J11" s="16">
        <f t="shared" si="2"/>
        <v>30</v>
      </c>
      <c r="K11" s="17">
        <f t="shared" si="3"/>
        <v>14166.666666666666</v>
      </c>
      <c r="L11" s="17">
        <f t="shared" si="4"/>
        <v>472.22222222222223</v>
      </c>
      <c r="M11" s="17">
        <f t="shared" si="5"/>
        <v>0</v>
      </c>
      <c r="N11" s="17">
        <f t="shared" si="6"/>
        <v>8500</v>
      </c>
      <c r="O11" s="18">
        <f t="shared" si="7"/>
        <v>12</v>
      </c>
      <c r="P11" s="19">
        <f t="shared" si="8"/>
        <v>5666.6666666666661</v>
      </c>
      <c r="Q11" s="19">
        <f t="shared" si="9"/>
        <v>472.22222222222217</v>
      </c>
      <c r="R11" s="6" t="s">
        <v>98</v>
      </c>
    </row>
    <row r="12" spans="1:18" ht="30" x14ac:dyDescent="0.25">
      <c r="A12" s="6">
        <v>7</v>
      </c>
      <c r="B12" s="6" t="s">
        <v>51</v>
      </c>
      <c r="C12" s="6" t="s">
        <v>52</v>
      </c>
      <c r="D12" s="13">
        <v>46026.458333333343</v>
      </c>
      <c r="E12" s="6" t="s">
        <v>70</v>
      </c>
      <c r="F12" s="14">
        <v>1</v>
      </c>
      <c r="G12" s="15"/>
      <c r="H12" s="16">
        <f t="shared" si="0"/>
        <v>0</v>
      </c>
      <c r="I12" s="16">
        <f t="shared" si="1"/>
        <v>1</v>
      </c>
      <c r="J12" s="16">
        <f t="shared" si="2"/>
        <v>12</v>
      </c>
      <c r="K12" s="17">
        <f t="shared" si="3"/>
        <v>5666.6666666666661</v>
      </c>
      <c r="L12" s="17">
        <f t="shared" si="4"/>
        <v>472.22222222222217</v>
      </c>
      <c r="M12" s="17">
        <f t="shared" si="5"/>
        <v>0</v>
      </c>
      <c r="N12" s="17">
        <f t="shared" si="6"/>
        <v>472.22222222222217</v>
      </c>
      <c r="O12" s="18">
        <f t="shared" si="7"/>
        <v>11</v>
      </c>
      <c r="P12" s="19">
        <f t="shared" si="8"/>
        <v>5194.4444444444434</v>
      </c>
      <c r="Q12" s="19">
        <f t="shared" si="9"/>
        <v>472.22222222222211</v>
      </c>
      <c r="R12" s="6" t="s">
        <v>98</v>
      </c>
    </row>
    <row r="14" spans="1:18" ht="168.75" x14ac:dyDescent="0.25">
      <c r="A14" s="7" t="s">
        <v>37</v>
      </c>
    </row>
  </sheetData>
  <autoFilter ref="A5:R12" xr:uid="{00000000-0009-0000-0000-000002000000}"/>
  <mergeCells count="1">
    <mergeCell ref="A3:R3"/>
  </mergeCells>
  <conditionalFormatting sqref="O6:O12">
    <cfRule type="cellIs" dxfId="4" priority="1" operator="less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4"/>
  <sheetViews>
    <sheetView showGridLines="0" topLeftCell="K1" workbookViewId="0">
      <pane ySplit="5" topLeftCell="A6" activePane="bottomLeft" state="frozen"/>
      <selection pane="bottomLeft" activeCell="Z12" sqref="Z6:Z12"/>
    </sheetView>
  </sheetViews>
  <sheetFormatPr defaultRowHeight="15" x14ac:dyDescent="0.25"/>
  <cols>
    <col min="1" max="1" width="11" customWidth="1"/>
    <col min="2" max="2" width="12" customWidth="1"/>
    <col min="3" max="3" width="16" customWidth="1"/>
    <col min="4" max="4" width="18" customWidth="1"/>
    <col min="5" max="5" width="13" customWidth="1"/>
    <col min="6" max="6" width="10" customWidth="1"/>
    <col min="7" max="7" width="15" customWidth="1"/>
    <col min="8" max="14" width="12" customWidth="1"/>
    <col min="15" max="18" width="16" customWidth="1"/>
    <col min="19" max="22" width="16" style="20" customWidth="1"/>
    <col min="23" max="23" width="16" customWidth="1"/>
    <col min="24" max="24" width="13" customWidth="1"/>
    <col min="25" max="25" width="14" customWidth="1"/>
    <col min="26" max="26" width="18" customWidth="1"/>
    <col min="27" max="27" width="46" customWidth="1"/>
  </cols>
  <sheetData>
    <row r="1" spans="1:27" ht="30" customHeight="1" x14ac:dyDescent="0.25">
      <c r="A1" s="1" t="s">
        <v>99</v>
      </c>
    </row>
    <row r="2" spans="1:27" ht="38.1" customHeight="1" x14ac:dyDescent="0.25">
      <c r="A2" s="2" t="s">
        <v>100</v>
      </c>
    </row>
    <row r="3" spans="1:27" x14ac:dyDescent="0.25">
      <c r="A3" s="26" t="s">
        <v>101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5" spans="1:27" ht="33.950000000000003" customHeight="1" x14ac:dyDescent="0.25">
      <c r="A5" s="4" t="s">
        <v>40</v>
      </c>
      <c r="B5" s="4" t="s">
        <v>42</v>
      </c>
      <c r="C5" s="4" t="s">
        <v>43</v>
      </c>
      <c r="D5" s="4" t="s">
        <v>41</v>
      </c>
      <c r="E5" s="4" t="s">
        <v>45</v>
      </c>
      <c r="F5" s="4" t="s">
        <v>46</v>
      </c>
      <c r="G5" s="4" t="s">
        <v>47</v>
      </c>
      <c r="H5" s="4" t="s">
        <v>87</v>
      </c>
      <c r="I5" s="4" t="s">
        <v>88</v>
      </c>
      <c r="J5" s="4"/>
      <c r="K5" s="4"/>
      <c r="L5" s="4"/>
      <c r="M5" s="4"/>
      <c r="N5" s="4"/>
      <c r="O5" s="4" t="s">
        <v>102</v>
      </c>
      <c r="P5" s="4" t="s">
        <v>103</v>
      </c>
      <c r="Q5" s="4" t="s">
        <v>104</v>
      </c>
      <c r="R5" s="4" t="s">
        <v>105</v>
      </c>
      <c r="S5" s="4"/>
      <c r="T5" s="4"/>
      <c r="U5" s="4"/>
      <c r="V5" s="4"/>
      <c r="W5" s="4" t="s">
        <v>106</v>
      </c>
      <c r="X5" s="4" t="s">
        <v>94</v>
      </c>
      <c r="Y5" s="4" t="s">
        <v>107</v>
      </c>
      <c r="Z5" s="4" t="s">
        <v>108</v>
      </c>
      <c r="AA5" s="4" t="s">
        <v>97</v>
      </c>
    </row>
    <row r="6" spans="1:27" ht="45" x14ac:dyDescent="0.25">
      <c r="A6" s="6">
        <v>1</v>
      </c>
      <c r="B6" s="6" t="s">
        <v>51</v>
      </c>
      <c r="C6" s="6" t="s">
        <v>52</v>
      </c>
      <c r="D6" s="13">
        <v>46023.333333333343</v>
      </c>
      <c r="E6" s="6" t="s">
        <v>54</v>
      </c>
      <c r="F6" s="14">
        <v>10</v>
      </c>
      <c r="G6" s="15">
        <v>400</v>
      </c>
      <c r="H6" s="16">
        <f t="shared" ref="H6:H12" si="0">IF($E6="Alış",$F6,0)</f>
        <v>10</v>
      </c>
      <c r="I6" s="16">
        <f t="shared" ref="I6:I12" si="1">IF($E6&lt;&gt;"Alış",$F6,0)</f>
        <v>0</v>
      </c>
      <c r="J6" s="16"/>
      <c r="K6" s="16"/>
      <c r="L6" s="16"/>
      <c r="M6" s="16"/>
      <c r="N6" s="16"/>
      <c r="O6" s="16">
        <f t="shared" ref="O6:O12" si="2">IF($B6=$B5,$P5,0)</f>
        <v>0</v>
      </c>
      <c r="P6" s="16">
        <f t="shared" ref="P6:P12" si="3">$O6+$H6</f>
        <v>10</v>
      </c>
      <c r="Q6" s="16">
        <f t="shared" ref="Q6:Q12" si="4">IF($B6=$B5,$R5,0)</f>
        <v>0</v>
      </c>
      <c r="R6" s="16">
        <f t="shared" ref="R6:R12" si="5">$Q6+$I6</f>
        <v>0</v>
      </c>
      <c r="S6" s="16"/>
      <c r="T6" s="16"/>
      <c r="U6" s="16"/>
      <c r="V6" s="16"/>
      <c r="W6" s="19">
        <f>IF($I6=0,0,SUMPRODUCT(($B$6:$B6=$B6)*($H$6:$H6&gt;0)*($G$6:$G6)*(IF($P$6:$P6&lt;$R6,$P$6:$P6,$R6)-IF($O$6:$O6&gt;$Q6,$O$6:$O6,$Q6))*--((IF($P$6:$P6&lt;$R6,$P$6:$P6,$R6)-IF($O$6:$O6&gt;$Q6,$O$6:$O6,$Q6))&gt;0)))</f>
        <v>0</v>
      </c>
      <c r="X6" s="18">
        <f t="shared" ref="X6:X12" si="6">IF($B6=$B5,$X5,0)+$H6-$I6</f>
        <v>10</v>
      </c>
      <c r="Y6" s="19">
        <f t="shared" ref="Y6:Y12" si="7">IF($B6=$B5,$Y5,0)+$H6*$G6-$W6</f>
        <v>4000</v>
      </c>
      <c r="Z6" s="19">
        <f t="shared" ref="Z6:Z12" si="8">IF($X6=0,0,$Y6/$X6)</f>
        <v>400</v>
      </c>
      <c r="AA6" s="6" t="s">
        <v>109</v>
      </c>
    </row>
    <row r="7" spans="1:27" ht="45" x14ac:dyDescent="0.25">
      <c r="A7" s="6">
        <v>2</v>
      </c>
      <c r="B7" s="6" t="s">
        <v>51</v>
      </c>
      <c r="C7" s="6" t="s">
        <v>52</v>
      </c>
      <c r="D7" s="13">
        <v>46023.770833333343</v>
      </c>
      <c r="E7" s="6" t="s">
        <v>58</v>
      </c>
      <c r="F7" s="14">
        <v>3</v>
      </c>
      <c r="G7" s="15"/>
      <c r="H7" s="16">
        <f t="shared" si="0"/>
        <v>0</v>
      </c>
      <c r="I7" s="16">
        <f t="shared" si="1"/>
        <v>3</v>
      </c>
      <c r="J7" s="16"/>
      <c r="K7" s="16"/>
      <c r="L7" s="16"/>
      <c r="M7" s="16"/>
      <c r="N7" s="16"/>
      <c r="O7" s="16">
        <f t="shared" si="2"/>
        <v>10</v>
      </c>
      <c r="P7" s="16">
        <f t="shared" si="3"/>
        <v>10</v>
      </c>
      <c r="Q7" s="16">
        <f t="shared" si="4"/>
        <v>0</v>
      </c>
      <c r="R7" s="16">
        <f t="shared" si="5"/>
        <v>3</v>
      </c>
      <c r="S7" s="16"/>
      <c r="T7" s="16"/>
      <c r="U7" s="16"/>
      <c r="V7" s="16"/>
      <c r="W7" s="19">
        <f>IF($I7=0,0,SUMPRODUCT(($B$6:$B7=$B7)*($H$6:$H7&gt;0)*($G$6:$G7)*(IF($P$6:$P7&lt;$R7,$P$6:$P7,$R7)-IF($O$6:$O7&gt;$Q7,$O$6:$O7,$Q7))*--((IF($P$6:$P7&lt;$R7,$P$6:$P7,$R7)-IF($O$6:$O7&gt;$Q7,$O$6:$O7,$Q7))&gt;0)))</f>
        <v>1200</v>
      </c>
      <c r="X7" s="18">
        <f t="shared" si="6"/>
        <v>7</v>
      </c>
      <c r="Y7" s="19">
        <f t="shared" si="7"/>
        <v>2800</v>
      </c>
      <c r="Z7" s="19">
        <f t="shared" si="8"/>
        <v>400</v>
      </c>
      <c r="AA7" s="6" t="s">
        <v>109</v>
      </c>
    </row>
    <row r="8" spans="1:27" ht="45" x14ac:dyDescent="0.25">
      <c r="A8" s="6">
        <v>3</v>
      </c>
      <c r="B8" s="6" t="s">
        <v>51</v>
      </c>
      <c r="C8" s="6" t="s">
        <v>52</v>
      </c>
      <c r="D8" s="13">
        <v>46024.385416666657</v>
      </c>
      <c r="E8" s="6" t="s">
        <v>54</v>
      </c>
      <c r="F8" s="14">
        <v>20</v>
      </c>
      <c r="G8" s="15">
        <v>460</v>
      </c>
      <c r="H8" s="16">
        <f t="shared" si="0"/>
        <v>20</v>
      </c>
      <c r="I8" s="16">
        <f t="shared" si="1"/>
        <v>0</v>
      </c>
      <c r="J8" s="16"/>
      <c r="K8" s="16"/>
      <c r="L8" s="16"/>
      <c r="M8" s="16"/>
      <c r="N8" s="16"/>
      <c r="O8" s="16">
        <f t="shared" si="2"/>
        <v>10</v>
      </c>
      <c r="P8" s="16">
        <f t="shared" si="3"/>
        <v>30</v>
      </c>
      <c r="Q8" s="16">
        <f t="shared" si="4"/>
        <v>3</v>
      </c>
      <c r="R8" s="16">
        <f t="shared" si="5"/>
        <v>3</v>
      </c>
      <c r="S8" s="16"/>
      <c r="T8" s="16"/>
      <c r="U8" s="16"/>
      <c r="V8" s="16"/>
      <c r="W8" s="19">
        <f>IF($I8=0,0,SUMPRODUCT(($B$6:$B8=$B8)*($H$6:$H8&gt;0)*($G$6:$G8)*(IF($P$6:$P8&lt;$R8,$P$6:$P8,$R8)-IF($O$6:$O8&gt;$Q8,$O$6:$O8,$Q8))*--((IF($P$6:$P8&lt;$R8,$P$6:$P8,$R8)-IF($O$6:$O8&gt;$Q8,$O$6:$O8,$Q8))&gt;0)))</f>
        <v>0</v>
      </c>
      <c r="X8" s="18">
        <f t="shared" si="6"/>
        <v>27</v>
      </c>
      <c r="Y8" s="19">
        <f t="shared" si="7"/>
        <v>12000</v>
      </c>
      <c r="Z8" s="19">
        <f t="shared" si="8"/>
        <v>444.44444444444446</v>
      </c>
      <c r="AA8" s="6" t="s">
        <v>109</v>
      </c>
    </row>
    <row r="9" spans="1:27" ht="45" x14ac:dyDescent="0.25">
      <c r="A9" s="6">
        <v>4</v>
      </c>
      <c r="B9" s="6" t="s">
        <v>51</v>
      </c>
      <c r="C9" s="6" t="s">
        <v>52</v>
      </c>
      <c r="D9" s="13">
        <v>46024.791666666657</v>
      </c>
      <c r="E9" s="6" t="s">
        <v>58</v>
      </c>
      <c r="F9" s="14">
        <v>12</v>
      </c>
      <c r="G9" s="15"/>
      <c r="H9" s="16">
        <f t="shared" si="0"/>
        <v>0</v>
      </c>
      <c r="I9" s="16">
        <f t="shared" si="1"/>
        <v>12</v>
      </c>
      <c r="J9" s="16"/>
      <c r="K9" s="16"/>
      <c r="L9" s="16"/>
      <c r="M9" s="16"/>
      <c r="N9" s="16"/>
      <c r="O9" s="16">
        <f t="shared" si="2"/>
        <v>30</v>
      </c>
      <c r="P9" s="16">
        <f t="shared" si="3"/>
        <v>30</v>
      </c>
      <c r="Q9" s="16">
        <f t="shared" si="4"/>
        <v>3</v>
      </c>
      <c r="R9" s="16">
        <f t="shared" si="5"/>
        <v>15</v>
      </c>
      <c r="S9" s="16"/>
      <c r="T9" s="16"/>
      <c r="U9" s="16"/>
      <c r="V9" s="16"/>
      <c r="W9" s="19">
        <f>IF($I9=0,0,SUMPRODUCT(($B$6:$B9=$B9)*($H$6:$H9&gt;0)*($G$6:$G9)*(IF($P$6:$P9&lt;$R9,$P$6:$P9,$R9)-IF($O$6:$O9&gt;$Q9,$O$6:$O9,$Q9))*--((IF($P$6:$P9&lt;$R9,$P$6:$P9,$R9)-IF($O$6:$O9&gt;$Q9,$O$6:$O9,$Q9))&gt;0)))</f>
        <v>8300</v>
      </c>
      <c r="X9" s="18">
        <f t="shared" si="6"/>
        <v>15</v>
      </c>
      <c r="Y9" s="19">
        <f t="shared" si="7"/>
        <v>3700</v>
      </c>
      <c r="Z9" s="19">
        <f t="shared" si="8"/>
        <v>246.66666666666666</v>
      </c>
      <c r="AA9" s="6" t="s">
        <v>109</v>
      </c>
    </row>
    <row r="10" spans="1:27" ht="45" x14ac:dyDescent="0.25">
      <c r="A10" s="6">
        <v>5</v>
      </c>
      <c r="B10" s="6" t="s">
        <v>51</v>
      </c>
      <c r="C10" s="6" t="s">
        <v>52</v>
      </c>
      <c r="D10" s="13">
        <v>46025.388888888891</v>
      </c>
      <c r="E10" s="6" t="s">
        <v>54</v>
      </c>
      <c r="F10" s="14">
        <v>15</v>
      </c>
      <c r="G10" s="15">
        <v>500</v>
      </c>
      <c r="H10" s="16">
        <f t="shared" si="0"/>
        <v>15</v>
      </c>
      <c r="I10" s="16">
        <f t="shared" si="1"/>
        <v>0</v>
      </c>
      <c r="J10" s="16"/>
      <c r="K10" s="16"/>
      <c r="L10" s="16"/>
      <c r="M10" s="16"/>
      <c r="N10" s="16"/>
      <c r="O10" s="16">
        <f t="shared" si="2"/>
        <v>30</v>
      </c>
      <c r="P10" s="16">
        <f t="shared" si="3"/>
        <v>45</v>
      </c>
      <c r="Q10" s="16">
        <f t="shared" si="4"/>
        <v>15</v>
      </c>
      <c r="R10" s="16">
        <f t="shared" si="5"/>
        <v>15</v>
      </c>
      <c r="S10" s="16"/>
      <c r="T10" s="16"/>
      <c r="U10" s="16"/>
      <c r="V10" s="16"/>
      <c r="W10" s="19">
        <f>IF($I10=0,0,SUMPRODUCT(($B$6:$B10=$B10)*($H$6:$H10&gt;0)*($G$6:$G10)*(IF($P$6:$P10&lt;$R10,$P$6:$P10,$R10)-IF($O$6:$O10&gt;$Q10,$O$6:$O10,$Q10))*--((IF($P$6:$P10&lt;$R10,$P$6:$P10,$R10)-IF($O$6:$O10&gt;$Q10,$O$6:$O10,$Q10))&gt;0)))</f>
        <v>0</v>
      </c>
      <c r="X10" s="18">
        <f t="shared" si="6"/>
        <v>30</v>
      </c>
      <c r="Y10" s="19">
        <f t="shared" si="7"/>
        <v>11200</v>
      </c>
      <c r="Z10" s="19">
        <f t="shared" si="8"/>
        <v>373.33333333333331</v>
      </c>
      <c r="AA10" s="6" t="s">
        <v>109</v>
      </c>
    </row>
    <row r="11" spans="1:27" ht="45" x14ac:dyDescent="0.25">
      <c r="A11" s="6">
        <v>6</v>
      </c>
      <c r="B11" s="6" t="s">
        <v>51</v>
      </c>
      <c r="C11" s="6" t="s">
        <v>52</v>
      </c>
      <c r="D11" s="13">
        <v>46025.881944444453</v>
      </c>
      <c r="E11" s="6" t="s">
        <v>58</v>
      </c>
      <c r="F11" s="14">
        <v>18</v>
      </c>
      <c r="G11" s="15"/>
      <c r="H11" s="16">
        <f t="shared" si="0"/>
        <v>0</v>
      </c>
      <c r="I11" s="16">
        <f t="shared" si="1"/>
        <v>18</v>
      </c>
      <c r="J11" s="16"/>
      <c r="K11" s="16"/>
      <c r="L11" s="16"/>
      <c r="M11" s="16"/>
      <c r="N11" s="16"/>
      <c r="O11" s="16">
        <f t="shared" si="2"/>
        <v>45</v>
      </c>
      <c r="P11" s="16">
        <f t="shared" si="3"/>
        <v>45</v>
      </c>
      <c r="Q11" s="16">
        <f t="shared" si="4"/>
        <v>15</v>
      </c>
      <c r="R11" s="16">
        <f t="shared" si="5"/>
        <v>33</v>
      </c>
      <c r="S11" s="16"/>
      <c r="T11" s="16"/>
      <c r="U11" s="16"/>
      <c r="V11" s="16"/>
      <c r="W11" s="19">
        <f>IF($I11=0,0,SUMPRODUCT(($B$6:$B11=$B11)*($H$6:$H11&gt;0)*($G$6:$G11)*(IF($P$6:$P11&lt;$R11,$P$6:$P11,$R11)-IF($O$6:$O11&gt;$Q11,$O$6:$O11,$Q11))*--((IF($P$6:$P11&lt;$R11,$P$6:$P11,$R11)-IF($O$6:$O11&gt;$Q11,$O$6:$O11,$Q11))&gt;0)))</f>
        <v>25280</v>
      </c>
      <c r="X11" s="18">
        <f t="shared" si="6"/>
        <v>12</v>
      </c>
      <c r="Y11" s="19">
        <f t="shared" si="7"/>
        <v>-14080</v>
      </c>
      <c r="Z11" s="19">
        <f t="shared" si="8"/>
        <v>-1173.3333333333333</v>
      </c>
      <c r="AA11" s="6" t="s">
        <v>109</v>
      </c>
    </row>
    <row r="12" spans="1:27" ht="45" x14ac:dyDescent="0.25">
      <c r="A12" s="6">
        <v>7</v>
      </c>
      <c r="B12" s="6" t="s">
        <v>51</v>
      </c>
      <c r="C12" s="6" t="s">
        <v>52</v>
      </c>
      <c r="D12" s="13">
        <v>46026.458333333343</v>
      </c>
      <c r="E12" s="6" t="s">
        <v>70</v>
      </c>
      <c r="F12" s="14">
        <v>1</v>
      </c>
      <c r="G12" s="15"/>
      <c r="H12" s="16">
        <f t="shared" si="0"/>
        <v>0</v>
      </c>
      <c r="I12" s="16">
        <f t="shared" si="1"/>
        <v>1</v>
      </c>
      <c r="J12" s="16"/>
      <c r="K12" s="16"/>
      <c r="L12" s="16"/>
      <c r="M12" s="16"/>
      <c r="N12" s="16"/>
      <c r="O12" s="16">
        <f t="shared" si="2"/>
        <v>45</v>
      </c>
      <c r="P12" s="16">
        <f t="shared" si="3"/>
        <v>45</v>
      </c>
      <c r="Q12" s="16">
        <f t="shared" si="4"/>
        <v>33</v>
      </c>
      <c r="R12" s="16">
        <f t="shared" si="5"/>
        <v>34</v>
      </c>
      <c r="S12" s="16"/>
      <c r="T12" s="16"/>
      <c r="U12" s="16"/>
      <c r="V12" s="16"/>
      <c r="W12" s="19">
        <f>IF($I12=0,0,SUMPRODUCT(($B$6:$B12=$B12)*($H$6:$H12&gt;0)*($G$6:$G12)*(IF($P$6:$P12&lt;$R12,$P$6:$P12,$R12)-IF($O$6:$O12&gt;$Q12,$O$6:$O12,$Q12))*--((IF($P$6:$P12&lt;$R12,$P$6:$P12,$R12)-IF($O$6:$O12&gt;$Q12,$O$6:$O12,$Q12))&gt;0)))</f>
        <v>26640</v>
      </c>
      <c r="X12" s="18">
        <f t="shared" si="6"/>
        <v>11</v>
      </c>
      <c r="Y12" s="19">
        <f t="shared" si="7"/>
        <v>-40720</v>
      </c>
      <c r="Z12" s="19">
        <f t="shared" si="8"/>
        <v>-3701.818181818182</v>
      </c>
      <c r="AA12" s="6" t="s">
        <v>109</v>
      </c>
    </row>
    <row r="14" spans="1:27" ht="168.75" x14ac:dyDescent="0.25">
      <c r="A14" s="7" t="s">
        <v>37</v>
      </c>
    </row>
  </sheetData>
  <autoFilter ref="A5:AA12" xr:uid="{00000000-0009-0000-0000-000003000000}"/>
  <mergeCells count="1">
    <mergeCell ref="A3:AA3"/>
  </mergeCells>
  <conditionalFormatting sqref="X6:X12">
    <cfRule type="cellIs" dxfId="3" priority="1" operator="lessThan">
      <formula>0</formula>
    </cfRule>
  </conditionalFormatting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4"/>
  <sheetViews>
    <sheetView showGridLines="0" topLeftCell="E1" workbookViewId="0">
      <pane ySplit="5" topLeftCell="A6" activePane="bottomLeft" state="frozen"/>
      <selection pane="bottomLeft" activeCell="W12" sqref="W6:W12"/>
    </sheetView>
  </sheetViews>
  <sheetFormatPr defaultRowHeight="15" x14ac:dyDescent="0.25"/>
  <cols>
    <col min="1" max="1" width="11" customWidth="1"/>
    <col min="2" max="2" width="12" customWidth="1"/>
    <col min="3" max="3" width="16" customWidth="1"/>
    <col min="4" max="4" width="18" customWidth="1"/>
    <col min="5" max="5" width="13" customWidth="1"/>
    <col min="6" max="6" width="10" customWidth="1"/>
    <col min="7" max="7" width="15" customWidth="1"/>
    <col min="8" max="8" width="12" customWidth="1"/>
    <col min="9" max="17" width="12" style="20" customWidth="1"/>
    <col min="18" max="18" width="12" customWidth="1"/>
    <col min="19" max="19" width="15" customWidth="1"/>
    <col min="20" max="20" width="20" customWidth="1"/>
    <col min="21" max="21" width="14" customWidth="1"/>
    <col min="22" max="22" width="13" customWidth="1"/>
    <col min="23" max="23" width="16" customWidth="1"/>
    <col min="24" max="24" width="44" customWidth="1"/>
  </cols>
  <sheetData>
    <row r="1" spans="1:24" ht="30" customHeight="1" x14ac:dyDescent="0.25">
      <c r="A1" s="1" t="s">
        <v>110</v>
      </c>
    </row>
    <row r="2" spans="1:24" ht="38.1" customHeight="1" x14ac:dyDescent="0.25">
      <c r="A2" s="2" t="s">
        <v>111</v>
      </c>
    </row>
    <row r="3" spans="1:24" x14ac:dyDescent="0.25">
      <c r="A3" s="26" t="s">
        <v>112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5" spans="1:24" ht="33.950000000000003" customHeight="1" thickBot="1" x14ac:dyDescent="0.3">
      <c r="A5" s="4" t="s">
        <v>40</v>
      </c>
      <c r="B5" s="4" t="s">
        <v>42</v>
      </c>
      <c r="C5" s="4" t="s">
        <v>43</v>
      </c>
      <c r="D5" s="4" t="s">
        <v>41</v>
      </c>
      <c r="E5" s="4" t="s">
        <v>45</v>
      </c>
      <c r="F5" s="4" t="s">
        <v>46</v>
      </c>
      <c r="G5" s="4" t="s">
        <v>47</v>
      </c>
      <c r="H5" s="4" t="s">
        <v>87</v>
      </c>
      <c r="I5" s="4"/>
      <c r="J5" s="4"/>
      <c r="K5" s="4"/>
      <c r="L5" s="4"/>
      <c r="M5" s="4"/>
      <c r="N5" s="4"/>
      <c r="O5" s="4"/>
      <c r="P5" s="4"/>
      <c r="Q5" s="4"/>
      <c r="R5" s="4" t="s">
        <v>88</v>
      </c>
      <c r="S5" s="4" t="s">
        <v>113</v>
      </c>
      <c r="T5" s="4" t="s">
        <v>114</v>
      </c>
      <c r="U5" s="4" t="s">
        <v>93</v>
      </c>
      <c r="V5" s="4" t="s">
        <v>94</v>
      </c>
      <c r="W5" s="4" t="s">
        <v>115</v>
      </c>
      <c r="X5" s="4" t="s">
        <v>97</v>
      </c>
    </row>
    <row r="6" spans="1:24" ht="30" x14ac:dyDescent="0.25">
      <c r="A6" s="6">
        <v>1</v>
      </c>
      <c r="B6" s="6" t="s">
        <v>51</v>
      </c>
      <c r="C6" s="6" t="s">
        <v>52</v>
      </c>
      <c r="D6" s="13">
        <v>46023.333333333343</v>
      </c>
      <c r="E6" s="6" t="s">
        <v>54</v>
      </c>
      <c r="F6" s="14">
        <v>10</v>
      </c>
      <c r="G6" s="15">
        <v>400</v>
      </c>
      <c r="H6" s="16">
        <f t="shared" ref="H6:H12" si="0">IF($E6="Alış",$F6,0)</f>
        <v>10</v>
      </c>
      <c r="I6" s="16"/>
      <c r="J6" s="16"/>
      <c r="K6" s="16"/>
      <c r="L6" s="16"/>
      <c r="M6" s="16"/>
      <c r="N6" s="16"/>
      <c r="O6" s="16"/>
      <c r="P6" s="16"/>
      <c r="Q6" s="16"/>
      <c r="R6" s="16">
        <f t="shared" ref="R6:R12" si="1">IF($E6&lt;&gt;"Alış",$F6,0)</f>
        <v>0</v>
      </c>
      <c r="S6" s="17">
        <f>IF($B6=$B5,$T5,0)</f>
        <v>0</v>
      </c>
      <c r="T6" s="19">
        <f>IF($E6="Alış",$G6,$S6)</f>
        <v>400</v>
      </c>
      <c r="U6" s="19">
        <f t="shared" ref="U6:U12" si="2">$R6*$T6</f>
        <v>0</v>
      </c>
      <c r="V6" s="18">
        <f>IF($B6=$B5,$V5,0)+$H6-$R6</f>
        <v>10</v>
      </c>
      <c r="W6" s="19">
        <f t="shared" ref="W6:W12" si="3">$V6*$T6</f>
        <v>4000</v>
      </c>
      <c r="X6" s="6" t="s">
        <v>116</v>
      </c>
    </row>
    <row r="7" spans="1:24" ht="30" x14ac:dyDescent="0.25">
      <c r="A7" s="6">
        <v>2</v>
      </c>
      <c r="B7" s="6" t="s">
        <v>51</v>
      </c>
      <c r="C7" s="6" t="s">
        <v>52</v>
      </c>
      <c r="D7" s="13">
        <v>46023.770833333343</v>
      </c>
      <c r="E7" s="6" t="s">
        <v>58</v>
      </c>
      <c r="F7" s="14">
        <v>3</v>
      </c>
      <c r="G7" s="15"/>
      <c r="H7" s="16">
        <f t="shared" si="0"/>
        <v>0</v>
      </c>
      <c r="I7" s="16"/>
      <c r="J7" s="16"/>
      <c r="K7" s="16"/>
      <c r="L7" s="16"/>
      <c r="M7" s="16"/>
      <c r="N7" s="16"/>
      <c r="O7" s="16"/>
      <c r="P7" s="16"/>
      <c r="Q7" s="16"/>
      <c r="R7" s="16">
        <f t="shared" si="1"/>
        <v>3</v>
      </c>
      <c r="S7" s="17">
        <f>IF($B7=$B6,$T6,0)</f>
        <v>400</v>
      </c>
      <c r="T7" s="19">
        <f>IF($E7="Alış",$G7,$S7)</f>
        <v>400</v>
      </c>
      <c r="U7" s="19">
        <f t="shared" si="2"/>
        <v>1200</v>
      </c>
      <c r="V7" s="18">
        <f>IF($B7=$B6,$V6,0)+$H7-$R7</f>
        <v>7</v>
      </c>
      <c r="W7" s="19">
        <f t="shared" si="3"/>
        <v>2800</v>
      </c>
      <c r="X7" s="6" t="s">
        <v>116</v>
      </c>
    </row>
    <row r="8" spans="1:24" ht="30" x14ac:dyDescent="0.25">
      <c r="A8" s="6">
        <v>3</v>
      </c>
      <c r="B8" s="6" t="s">
        <v>51</v>
      </c>
      <c r="C8" s="6" t="s">
        <v>52</v>
      </c>
      <c r="D8" s="13">
        <v>46024.385416666657</v>
      </c>
      <c r="E8" s="6" t="s">
        <v>54</v>
      </c>
      <c r="F8" s="14">
        <v>20</v>
      </c>
      <c r="G8" s="15">
        <v>460</v>
      </c>
      <c r="H8" s="16">
        <f t="shared" si="0"/>
        <v>20</v>
      </c>
      <c r="I8" s="16"/>
      <c r="J8" s="16"/>
      <c r="K8" s="16"/>
      <c r="L8" s="16"/>
      <c r="M8" s="16"/>
      <c r="N8" s="16"/>
      <c r="O8" s="16"/>
      <c r="P8" s="16"/>
      <c r="Q8" s="16"/>
      <c r="R8" s="16">
        <f t="shared" si="1"/>
        <v>0</v>
      </c>
      <c r="S8" s="17">
        <f>IF($B8=$B7,$T7,0)</f>
        <v>400</v>
      </c>
      <c r="T8" s="19">
        <f>IF($E8="Alış",$G8,$S8)</f>
        <v>460</v>
      </c>
      <c r="U8" s="19">
        <f t="shared" si="2"/>
        <v>0</v>
      </c>
      <c r="V8" s="18">
        <f>IF($B8=$B7,$V7,0)+$H8-$R8</f>
        <v>27</v>
      </c>
      <c r="W8" s="19">
        <f t="shared" si="3"/>
        <v>12420</v>
      </c>
      <c r="X8" s="6" t="s">
        <v>116</v>
      </c>
    </row>
    <row r="9" spans="1:24" ht="30" x14ac:dyDescent="0.25">
      <c r="A9" s="6">
        <v>4</v>
      </c>
      <c r="B9" s="6" t="s">
        <v>51</v>
      </c>
      <c r="C9" s="6" t="s">
        <v>52</v>
      </c>
      <c r="D9" s="13">
        <v>46024.791666666657</v>
      </c>
      <c r="E9" s="6" t="s">
        <v>58</v>
      </c>
      <c r="F9" s="14">
        <v>12</v>
      </c>
      <c r="G9" s="15"/>
      <c r="H9" s="16">
        <f t="shared" si="0"/>
        <v>0</v>
      </c>
      <c r="I9" s="16"/>
      <c r="J9" s="16"/>
      <c r="K9" s="16"/>
      <c r="L9" s="16"/>
      <c r="M9" s="16"/>
      <c r="N9" s="16"/>
      <c r="O9" s="16"/>
      <c r="P9" s="16"/>
      <c r="Q9" s="16"/>
      <c r="R9" s="16">
        <f t="shared" si="1"/>
        <v>12</v>
      </c>
      <c r="S9" s="17">
        <f>IF($B9=$B8,$T8,0)</f>
        <v>460</v>
      </c>
      <c r="T9" s="19">
        <f>IF($E9="Alış",$G9,$S9)</f>
        <v>460</v>
      </c>
      <c r="U9" s="19">
        <f t="shared" si="2"/>
        <v>5520</v>
      </c>
      <c r="V9" s="18">
        <f>IF($B9=$B8,$V8,0)+$H9-$R9</f>
        <v>15</v>
      </c>
      <c r="W9" s="19">
        <f t="shared" si="3"/>
        <v>6900</v>
      </c>
      <c r="X9" s="6" t="s">
        <v>116</v>
      </c>
    </row>
    <row r="10" spans="1:24" ht="30" x14ac:dyDescent="0.25">
      <c r="A10" s="6">
        <v>5</v>
      </c>
      <c r="B10" s="6" t="s">
        <v>51</v>
      </c>
      <c r="C10" s="6" t="s">
        <v>52</v>
      </c>
      <c r="D10" s="13">
        <v>46025.388888888891</v>
      </c>
      <c r="E10" s="6" t="s">
        <v>54</v>
      </c>
      <c r="F10" s="14">
        <v>15</v>
      </c>
      <c r="G10" s="15">
        <v>500</v>
      </c>
      <c r="H10" s="16">
        <f t="shared" si="0"/>
        <v>15</v>
      </c>
      <c r="I10" s="16"/>
      <c r="J10" s="16"/>
      <c r="K10" s="16"/>
      <c r="L10" s="16"/>
      <c r="M10" s="16"/>
      <c r="N10" s="16"/>
      <c r="O10" s="16"/>
      <c r="P10" s="16"/>
      <c r="Q10" s="16"/>
      <c r="R10" s="16">
        <f t="shared" si="1"/>
        <v>0</v>
      </c>
      <c r="S10" s="17">
        <f>IF($B10=$B9,$T9,0)</f>
        <v>460</v>
      </c>
      <c r="T10" s="19">
        <f>IF($E10="Alış",$G10,$S10)</f>
        <v>500</v>
      </c>
      <c r="U10" s="19">
        <f t="shared" si="2"/>
        <v>0</v>
      </c>
      <c r="V10" s="18">
        <f>IF($B10=$B9,$V9,0)+$H10-$R10</f>
        <v>30</v>
      </c>
      <c r="W10" s="19">
        <f t="shared" si="3"/>
        <v>15000</v>
      </c>
      <c r="X10" s="6" t="s">
        <v>116</v>
      </c>
    </row>
    <row r="11" spans="1:24" ht="30" x14ac:dyDescent="0.25">
      <c r="A11" s="6">
        <v>6</v>
      </c>
      <c r="B11" s="6" t="s">
        <v>51</v>
      </c>
      <c r="C11" s="6" t="s">
        <v>52</v>
      </c>
      <c r="D11" s="13">
        <v>46025.881944444453</v>
      </c>
      <c r="E11" s="6" t="s">
        <v>58</v>
      </c>
      <c r="F11" s="14">
        <v>18</v>
      </c>
      <c r="G11" s="15"/>
      <c r="H11" s="16">
        <f t="shared" si="0"/>
        <v>0</v>
      </c>
      <c r="I11" s="16"/>
      <c r="J11" s="16"/>
      <c r="K11" s="16"/>
      <c r="L11" s="16"/>
      <c r="M11" s="16"/>
      <c r="N11" s="16"/>
      <c r="O11" s="16"/>
      <c r="P11" s="16"/>
      <c r="Q11" s="16"/>
      <c r="R11" s="16">
        <f t="shared" si="1"/>
        <v>18</v>
      </c>
      <c r="S11" s="17">
        <f>IF($B11=$B10,$T10,0)</f>
        <v>500</v>
      </c>
      <c r="T11" s="19">
        <f>IF($E11="Alış",$G11,$S11)</f>
        <v>500</v>
      </c>
      <c r="U11" s="19">
        <f t="shared" si="2"/>
        <v>9000</v>
      </c>
      <c r="V11" s="18">
        <f>IF($B11=$B10,$V10,0)+$H11-$R11</f>
        <v>12</v>
      </c>
      <c r="W11" s="19">
        <f t="shared" si="3"/>
        <v>6000</v>
      </c>
      <c r="X11" s="6" t="s">
        <v>116</v>
      </c>
    </row>
    <row r="12" spans="1:24" ht="30" x14ac:dyDescent="0.25">
      <c r="A12" s="6">
        <v>7</v>
      </c>
      <c r="B12" s="6" t="s">
        <v>51</v>
      </c>
      <c r="C12" s="6" t="s">
        <v>52</v>
      </c>
      <c r="D12" s="13">
        <v>46026.458333333343</v>
      </c>
      <c r="E12" s="6" t="s">
        <v>70</v>
      </c>
      <c r="F12" s="14">
        <v>1</v>
      </c>
      <c r="G12" s="15"/>
      <c r="H12" s="16">
        <f t="shared" si="0"/>
        <v>0</v>
      </c>
      <c r="I12" s="16"/>
      <c r="J12" s="16"/>
      <c r="K12" s="16"/>
      <c r="L12" s="16"/>
      <c r="M12" s="16"/>
      <c r="N12" s="16"/>
      <c r="O12" s="16"/>
      <c r="P12" s="16"/>
      <c r="Q12" s="16"/>
      <c r="R12" s="16">
        <f t="shared" si="1"/>
        <v>1</v>
      </c>
      <c r="S12" s="17">
        <f>IF($B12=$B11,$T11,0)</f>
        <v>500</v>
      </c>
      <c r="T12" s="19">
        <f>IF($E12="Alış",$G12,$S12)</f>
        <v>500</v>
      </c>
      <c r="U12" s="19">
        <f t="shared" si="2"/>
        <v>500</v>
      </c>
      <c r="V12" s="18">
        <f>IF($B12=$B11,$V11,0)+$H12-$R12</f>
        <v>11</v>
      </c>
      <c r="W12" s="19">
        <f t="shared" si="3"/>
        <v>5500</v>
      </c>
      <c r="X12" s="6" t="s">
        <v>116</v>
      </c>
    </row>
    <row r="14" spans="1:24" x14ac:dyDescent="0.25">
      <c r="A14" s="7"/>
    </row>
  </sheetData>
  <autoFilter ref="A5:X12" xr:uid="{00000000-0009-0000-0000-000004000000}"/>
  <mergeCells count="1">
    <mergeCell ref="A3:X3"/>
  </mergeCells>
  <conditionalFormatting sqref="V6:V12">
    <cfRule type="cellIs" dxfId="2" priority="1" operator="lessThan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0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26" customWidth="1"/>
    <col min="2" max="3" width="54" customWidth="1"/>
    <col min="4" max="4" width="44" customWidth="1"/>
  </cols>
  <sheetData>
    <row r="1" spans="1:4" ht="30" customHeight="1" x14ac:dyDescent="0.25">
      <c r="A1" s="1" t="s">
        <v>117</v>
      </c>
    </row>
    <row r="2" spans="1:4" ht="38.1" customHeight="1" x14ac:dyDescent="0.25">
      <c r="A2" s="2" t="s">
        <v>118</v>
      </c>
    </row>
    <row r="4" spans="1:4" x14ac:dyDescent="0.25">
      <c r="A4" s="10" t="s">
        <v>119</v>
      </c>
      <c r="B4" s="10"/>
      <c r="C4" s="10"/>
      <c r="D4" s="10"/>
    </row>
    <row r="5" spans="1:4" ht="42" customHeight="1" x14ac:dyDescent="0.25">
      <c r="A5" s="11" t="s">
        <v>49</v>
      </c>
      <c r="B5" s="27" t="s">
        <v>120</v>
      </c>
      <c r="C5" s="28"/>
      <c r="D5" s="29"/>
    </row>
    <row r="6" spans="1:4" ht="42" customHeight="1" x14ac:dyDescent="0.25">
      <c r="A6" s="11" t="s">
        <v>49</v>
      </c>
      <c r="B6" s="27" t="s">
        <v>121</v>
      </c>
      <c r="C6" s="28"/>
      <c r="D6" s="29"/>
    </row>
    <row r="7" spans="1:4" ht="42" customHeight="1" x14ac:dyDescent="0.25">
      <c r="A7" s="11" t="s">
        <v>49</v>
      </c>
      <c r="B7" s="27" t="s">
        <v>122</v>
      </c>
      <c r="C7" s="28"/>
      <c r="D7" s="29"/>
    </row>
    <row r="9" spans="1:4" x14ac:dyDescent="0.25">
      <c r="A9" s="10" t="s">
        <v>123</v>
      </c>
      <c r="B9" s="10"/>
      <c r="C9" s="10"/>
      <c r="D9" s="10"/>
    </row>
    <row r="10" spans="1:4" ht="42" customHeight="1" x14ac:dyDescent="0.25">
      <c r="A10" s="11" t="s">
        <v>49</v>
      </c>
      <c r="B10" s="27" t="s">
        <v>124</v>
      </c>
      <c r="C10" s="28"/>
      <c r="D10" s="29"/>
    </row>
    <row r="11" spans="1:4" ht="42" customHeight="1" x14ac:dyDescent="0.25">
      <c r="A11" s="11" t="s">
        <v>49</v>
      </c>
      <c r="B11" s="27" t="s">
        <v>125</v>
      </c>
      <c r="C11" s="28"/>
      <c r="D11" s="29"/>
    </row>
    <row r="12" spans="1:4" ht="42" customHeight="1" x14ac:dyDescent="0.25">
      <c r="A12" s="11" t="s">
        <v>49</v>
      </c>
      <c r="B12" s="27" t="s">
        <v>126</v>
      </c>
      <c r="C12" s="28"/>
      <c r="D12" s="29"/>
    </row>
    <row r="14" spans="1:4" x14ac:dyDescent="0.25">
      <c r="A14" s="10" t="s">
        <v>127</v>
      </c>
      <c r="B14" s="10"/>
      <c r="C14" s="10"/>
      <c r="D14" s="10"/>
    </row>
    <row r="15" spans="1:4" ht="42" customHeight="1" x14ac:dyDescent="0.25">
      <c r="A15" s="11" t="s">
        <v>49</v>
      </c>
      <c r="B15" s="27" t="s">
        <v>128</v>
      </c>
      <c r="C15" s="28"/>
      <c r="D15" s="29"/>
    </row>
    <row r="16" spans="1:4" ht="42" customHeight="1" x14ac:dyDescent="0.25">
      <c r="A16" s="11" t="s">
        <v>49</v>
      </c>
      <c r="B16" s="27" t="s">
        <v>129</v>
      </c>
      <c r="C16" s="28"/>
      <c r="D16" s="29"/>
    </row>
    <row r="17" spans="1:4" ht="42" customHeight="1" x14ac:dyDescent="0.25">
      <c r="A17" s="11" t="s">
        <v>49</v>
      </c>
      <c r="B17" s="27" t="s">
        <v>130</v>
      </c>
      <c r="C17" s="28"/>
      <c r="D17" s="29"/>
    </row>
    <row r="19" spans="1:4" x14ac:dyDescent="0.25">
      <c r="A19" s="10" t="s">
        <v>131</v>
      </c>
      <c r="B19" s="10"/>
      <c r="C19" s="10"/>
      <c r="D19" s="10"/>
    </row>
    <row r="20" spans="1:4" ht="42" customHeight="1" x14ac:dyDescent="0.25">
      <c r="A20" s="11" t="s">
        <v>49</v>
      </c>
      <c r="B20" s="27" t="s">
        <v>132</v>
      </c>
      <c r="C20" s="28"/>
      <c r="D20" s="29"/>
    </row>
    <row r="21" spans="1:4" ht="42" customHeight="1" x14ac:dyDescent="0.25">
      <c r="A21" s="11" t="s">
        <v>49</v>
      </c>
      <c r="B21" s="27" t="s">
        <v>133</v>
      </c>
      <c r="C21" s="28"/>
      <c r="D21" s="29"/>
    </row>
    <row r="22" spans="1:4" ht="42" customHeight="1" x14ac:dyDescent="0.25">
      <c r="A22" s="11" t="s">
        <v>49</v>
      </c>
      <c r="B22" s="27" t="s">
        <v>134</v>
      </c>
      <c r="C22" s="28"/>
      <c r="D22" s="29"/>
    </row>
    <row r="24" spans="1:4" x14ac:dyDescent="0.25">
      <c r="A24" s="10" t="s">
        <v>135</v>
      </c>
      <c r="B24" s="10"/>
      <c r="C24" s="10"/>
      <c r="D24" s="10"/>
    </row>
    <row r="25" spans="1:4" ht="42" customHeight="1" x14ac:dyDescent="0.25">
      <c r="A25" s="11" t="s">
        <v>49</v>
      </c>
      <c r="B25" s="27" t="s">
        <v>136</v>
      </c>
      <c r="C25" s="28"/>
      <c r="D25" s="29"/>
    </row>
    <row r="26" spans="1:4" ht="42" customHeight="1" x14ac:dyDescent="0.25">
      <c r="A26" s="11" t="s">
        <v>49</v>
      </c>
      <c r="B26" s="27" t="s">
        <v>137</v>
      </c>
      <c r="C26" s="28"/>
      <c r="D26" s="29"/>
    </row>
    <row r="27" spans="1:4" ht="42" customHeight="1" x14ac:dyDescent="0.25">
      <c r="A27" s="11" t="s">
        <v>49</v>
      </c>
      <c r="B27" s="27" t="s">
        <v>138</v>
      </c>
      <c r="C27" s="28"/>
      <c r="D27" s="29"/>
    </row>
    <row r="29" spans="1:4" x14ac:dyDescent="0.25">
      <c r="A29" s="10" t="s">
        <v>139</v>
      </c>
      <c r="B29" s="10"/>
      <c r="C29" s="10"/>
      <c r="D29" s="10"/>
    </row>
    <row r="30" spans="1:4" ht="42" customHeight="1" x14ac:dyDescent="0.25">
      <c r="A30" s="11" t="s">
        <v>49</v>
      </c>
      <c r="B30" s="27" t="s">
        <v>140</v>
      </c>
      <c r="C30" s="28"/>
      <c r="D30" s="29"/>
    </row>
    <row r="31" spans="1:4" ht="42" customHeight="1" x14ac:dyDescent="0.25">
      <c r="A31" s="11" t="s">
        <v>49</v>
      </c>
      <c r="B31" s="27" t="s">
        <v>141</v>
      </c>
      <c r="C31" s="28"/>
      <c r="D31" s="29"/>
    </row>
    <row r="32" spans="1:4" ht="42" customHeight="1" x14ac:dyDescent="0.25">
      <c r="A32" s="11" t="s">
        <v>49</v>
      </c>
      <c r="B32" s="27" t="s">
        <v>142</v>
      </c>
      <c r="C32" s="28"/>
      <c r="D32" s="29"/>
    </row>
    <row r="35" spans="1:4" ht="33.950000000000003" customHeight="1" x14ac:dyDescent="0.25">
      <c r="A35" s="4" t="s">
        <v>4</v>
      </c>
      <c r="B35" s="4" t="s">
        <v>143</v>
      </c>
      <c r="C35" s="4" t="s">
        <v>144</v>
      </c>
      <c r="D35" s="4" t="s">
        <v>145</v>
      </c>
    </row>
    <row r="36" spans="1:4" ht="30" x14ac:dyDescent="0.25">
      <c r="A36" s="6" t="s">
        <v>9</v>
      </c>
      <c r="B36" s="6" t="s">
        <v>146</v>
      </c>
      <c r="C36" s="6" t="s">
        <v>147</v>
      </c>
      <c r="D36" s="6" t="s">
        <v>148</v>
      </c>
    </row>
    <row r="37" spans="1:4" ht="30" x14ac:dyDescent="0.25">
      <c r="A37" s="6" t="s">
        <v>14</v>
      </c>
      <c r="B37" s="6" t="s">
        <v>149</v>
      </c>
      <c r="C37" s="6" t="s">
        <v>150</v>
      </c>
      <c r="D37" s="6" t="s">
        <v>151</v>
      </c>
    </row>
    <row r="38" spans="1:4" ht="30" x14ac:dyDescent="0.25">
      <c r="A38" s="6" t="s">
        <v>152</v>
      </c>
      <c r="B38" s="6" t="s">
        <v>153</v>
      </c>
      <c r="C38" s="6" t="s">
        <v>154</v>
      </c>
      <c r="D38" s="6" t="s">
        <v>155</v>
      </c>
    </row>
    <row r="40" spans="1:4" ht="60.75" x14ac:dyDescent="0.25">
      <c r="A40" s="7" t="s">
        <v>37</v>
      </c>
    </row>
  </sheetData>
  <mergeCells count="18">
    <mergeCell ref="B10:D10"/>
    <mergeCell ref="B11:D11"/>
    <mergeCell ref="B5:D5"/>
    <mergeCell ref="B15:D15"/>
    <mergeCell ref="B31:D31"/>
    <mergeCell ref="B22:D22"/>
    <mergeCell ref="B12:D12"/>
    <mergeCell ref="B7:D7"/>
    <mergeCell ref="B6:D6"/>
    <mergeCell ref="B16:D16"/>
    <mergeCell ref="B32:D32"/>
    <mergeCell ref="B17:D17"/>
    <mergeCell ref="B26:D26"/>
    <mergeCell ref="B27:D27"/>
    <mergeCell ref="B21:D21"/>
    <mergeCell ref="B30:D30"/>
    <mergeCell ref="B25:D25"/>
    <mergeCell ref="B20:D20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8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23" customWidth="1"/>
    <col min="2" max="2" width="12" customWidth="1"/>
    <col min="3" max="3" width="15" customWidth="1"/>
    <col min="4" max="4" width="12" customWidth="1"/>
    <col min="5" max="5" width="10" customWidth="1"/>
    <col min="6" max="6" width="18" customWidth="1"/>
    <col min="7" max="8" width="14" customWidth="1"/>
    <col min="9" max="9" width="15" customWidth="1"/>
    <col min="10" max="11" width="17" customWidth="1"/>
    <col min="12" max="12" width="20" customWidth="1"/>
  </cols>
  <sheetData>
    <row r="1" spans="1:12" ht="30" customHeight="1" x14ac:dyDescent="0.25">
      <c r="A1" s="1" t="s">
        <v>156</v>
      </c>
    </row>
    <row r="2" spans="1:12" ht="38.1" customHeight="1" x14ac:dyDescent="0.25">
      <c r="A2" s="2" t="s">
        <v>157</v>
      </c>
    </row>
    <row r="5" spans="1:12" ht="33.950000000000003" customHeight="1" x14ac:dyDescent="0.25">
      <c r="A5" s="4" t="s">
        <v>158</v>
      </c>
      <c r="B5" s="4" t="s">
        <v>42</v>
      </c>
      <c r="C5" s="4" t="s">
        <v>43</v>
      </c>
      <c r="D5" s="4" t="s">
        <v>159</v>
      </c>
      <c r="E5" s="4" t="s">
        <v>160</v>
      </c>
      <c r="F5" s="4" t="s">
        <v>161</v>
      </c>
      <c r="G5" s="4" t="s">
        <v>162</v>
      </c>
      <c r="H5" s="4" t="s">
        <v>163</v>
      </c>
      <c r="I5" s="4" t="s">
        <v>164</v>
      </c>
      <c r="J5" s="4" t="s">
        <v>165</v>
      </c>
      <c r="K5" s="4" t="s">
        <v>166</v>
      </c>
      <c r="L5" s="4" t="s">
        <v>167</v>
      </c>
    </row>
    <row r="6" spans="1:12" x14ac:dyDescent="0.25">
      <c r="A6" s="6" t="s">
        <v>168</v>
      </c>
      <c r="B6" s="6" t="s">
        <v>51</v>
      </c>
      <c r="C6" s="6" t="s">
        <v>52</v>
      </c>
      <c r="D6" s="14">
        <v>0.25</v>
      </c>
      <c r="E6" s="12">
        <v>0.8</v>
      </c>
      <c r="F6" s="14">
        <f>IF($E6=0,0,$D6/$E6)</f>
        <v>0.3125</v>
      </c>
      <c r="G6" s="17">
        <f>IFERROR(LOOKUP(2,1/('02_Agirlikli_Ortalama'!$B$6:$B$12=$B6),'02_Agirlikli_Ortalama'!$Q$6:$Q$12),0)</f>
        <v>472.22222222222211</v>
      </c>
      <c r="H6" s="17">
        <f>IFERROR(LOOKUP(2,1/('03_FIFO'!$B$6:$B$12=$B6),'03_FIFO'!$Z$6:$Z$12),0)</f>
        <v>-3701.818181818182</v>
      </c>
      <c r="I6" s="17">
        <f>IFERROR(LOOKUP(2,1/('04_Son_Alis'!$B$6:$B$12=$B6),'04_Son_Alis'!$T$6:$T$12),0)</f>
        <v>500</v>
      </c>
      <c r="J6" s="19">
        <f>$F6*$G6</f>
        <v>147.5694444444444</v>
      </c>
      <c r="K6" s="19">
        <f>$F6*$H6</f>
        <v>-1156.818181818182</v>
      </c>
      <c r="L6" s="19">
        <f>$F6*$I6</f>
        <v>156.25</v>
      </c>
    </row>
    <row r="7" spans="1:12" x14ac:dyDescent="0.25">
      <c r="A7" s="6" t="s">
        <v>168</v>
      </c>
      <c r="B7" s="6" t="s">
        <v>73</v>
      </c>
      <c r="C7" s="6" t="s">
        <v>74</v>
      </c>
      <c r="D7" s="14">
        <v>0.03</v>
      </c>
      <c r="E7" s="12">
        <v>1</v>
      </c>
      <c r="F7" s="14">
        <f>IF($E7=0,0,$D7/$E7)</f>
        <v>0.03</v>
      </c>
      <c r="G7" s="17">
        <f>IFERROR(LOOKUP(2,1/('02_Agirlikli_Ortalama'!$B$6:$B$12=$B7),'02_Agirlikli_Ortalama'!$Q$6:$Q$12),0)</f>
        <v>0</v>
      </c>
      <c r="H7" s="17">
        <f>IFERROR(LOOKUP(2,1/('03_FIFO'!$B$6:$B$12=$B7),'03_FIFO'!$Z$6:$Z$12),0)</f>
        <v>0</v>
      </c>
      <c r="I7" s="17">
        <f>IFERROR(LOOKUP(2,1/('04_Son_Alis'!$B$6:$B$12=$B7),'04_Son_Alis'!$T$6:$T$12),0)</f>
        <v>0</v>
      </c>
      <c r="J7" s="19">
        <f>$F7*$G7</f>
        <v>0</v>
      </c>
      <c r="K7" s="19">
        <f>$F7*$H7</f>
        <v>0</v>
      </c>
      <c r="L7" s="19">
        <f>$F7*$I7</f>
        <v>0</v>
      </c>
    </row>
    <row r="8" spans="1:12" x14ac:dyDescent="0.25">
      <c r="A8" s="6" t="s">
        <v>169</v>
      </c>
      <c r="B8" s="6" t="s">
        <v>51</v>
      </c>
      <c r="C8" s="6" t="s">
        <v>52</v>
      </c>
      <c r="D8" s="14">
        <v>0.12</v>
      </c>
      <c r="E8" s="12">
        <v>0.8</v>
      </c>
      <c r="F8" s="14">
        <f>IF($E8=0,0,$D8/$E8)</f>
        <v>0.15</v>
      </c>
      <c r="G8" s="17">
        <f>IFERROR(LOOKUP(2,1/('02_Agirlikli_Ortalama'!$B$6:$B$12=$B8),'02_Agirlikli_Ortalama'!$Q$6:$Q$12),0)</f>
        <v>472.22222222222211</v>
      </c>
      <c r="H8" s="17">
        <f>IFERROR(LOOKUP(2,1/('03_FIFO'!$B$6:$B$12=$B8),'03_FIFO'!$Z$6:$Z$12),0)</f>
        <v>-3701.818181818182</v>
      </c>
      <c r="I8" s="17">
        <f>IFERROR(LOOKUP(2,1/('04_Son_Alis'!$B$6:$B$12=$B8),'04_Son_Alis'!$T$6:$T$12),0)</f>
        <v>500</v>
      </c>
      <c r="J8" s="19">
        <f>$F8*$G8</f>
        <v>70.833333333333314</v>
      </c>
      <c r="K8" s="19">
        <f>$F8*$H8</f>
        <v>-555.27272727272725</v>
      </c>
      <c r="L8" s="19">
        <f>$F8*$I8</f>
        <v>75</v>
      </c>
    </row>
    <row r="9" spans="1:12" x14ac:dyDescent="0.25">
      <c r="A9" s="6" t="s">
        <v>169</v>
      </c>
      <c r="B9" s="6" t="s">
        <v>73</v>
      </c>
      <c r="C9" s="6" t="s">
        <v>74</v>
      </c>
      <c r="D9" s="14">
        <v>0.18</v>
      </c>
      <c r="E9" s="12">
        <v>1</v>
      </c>
      <c r="F9" s="14">
        <f>IF($E9=0,0,$D9/$E9)</f>
        <v>0.18</v>
      </c>
      <c r="G9" s="17">
        <f>IFERROR(LOOKUP(2,1/('02_Agirlikli_Ortalama'!$B$6:$B$12=$B9),'02_Agirlikli_Ortalama'!$Q$6:$Q$12),0)</f>
        <v>0</v>
      </c>
      <c r="H9" s="17">
        <f>IFERROR(LOOKUP(2,1/('03_FIFO'!$B$6:$B$12=$B9),'03_FIFO'!$Z$6:$Z$12),0)</f>
        <v>0</v>
      </c>
      <c r="I9" s="17">
        <f>IFERROR(LOOKUP(2,1/('04_Son_Alis'!$B$6:$B$12=$B9),'04_Son_Alis'!$T$6:$T$12),0)</f>
        <v>0</v>
      </c>
      <c r="J9" s="19">
        <f>$F9*$G9</f>
        <v>0</v>
      </c>
      <c r="K9" s="19">
        <f>$F9*$H9</f>
        <v>0</v>
      </c>
      <c r="L9" s="19">
        <f>$F9*$I9</f>
        <v>0</v>
      </c>
    </row>
    <row r="13" spans="1:12" ht="15.75" x14ac:dyDescent="0.25">
      <c r="A13" s="3" t="s">
        <v>170</v>
      </c>
    </row>
    <row r="14" spans="1:12" ht="33.950000000000003" customHeight="1" x14ac:dyDescent="0.25">
      <c r="A14" s="4" t="s">
        <v>158</v>
      </c>
      <c r="B14" s="4" t="s">
        <v>171</v>
      </c>
      <c r="C14" s="4" t="s">
        <v>172</v>
      </c>
      <c r="D14" s="4" t="s">
        <v>173</v>
      </c>
      <c r="E14" s="4" t="s">
        <v>174</v>
      </c>
      <c r="G14" s="8" t="s">
        <v>175</v>
      </c>
      <c r="H14" s="8"/>
      <c r="I14" s="8"/>
      <c r="J14" s="8"/>
      <c r="K14" s="8"/>
    </row>
    <row r="15" spans="1:12" ht="42" customHeight="1" x14ac:dyDescent="0.25">
      <c r="A15" s="6" t="s">
        <v>168</v>
      </c>
      <c r="B15" s="19">
        <f>SUMIF($A$6:$A$9,$A15,$J$6:$J$9)</f>
        <v>147.5694444444444</v>
      </c>
      <c r="C15" s="19">
        <f>SUMIF($A$6:$A$9,$A15,$K$6:$K$9)</f>
        <v>-1156.818181818182</v>
      </c>
      <c r="D15" s="19">
        <f>SUMIF($A$6:$A$9,$A15,$L$6:$L$9)</f>
        <v>156.25</v>
      </c>
      <c r="E15" s="19">
        <f>$D15-$B15</f>
        <v>8.6805555555555998</v>
      </c>
      <c r="G15" s="9" t="s">
        <v>176</v>
      </c>
      <c r="H15" s="9"/>
      <c r="I15" s="9"/>
      <c r="J15" s="9"/>
      <c r="K15" s="9"/>
    </row>
    <row r="16" spans="1:12" ht="42" customHeight="1" x14ac:dyDescent="0.25">
      <c r="A16" s="6" t="s">
        <v>169</v>
      </c>
      <c r="B16" s="19">
        <f>SUMIF($A$6:$A$9,$A16,$J$6:$J$9)</f>
        <v>70.833333333333314</v>
      </c>
      <c r="C16" s="19">
        <f>SUMIF($A$6:$A$9,$A16,$K$6:$K$9)</f>
        <v>-555.27272727272725</v>
      </c>
      <c r="D16" s="19">
        <f>SUMIF($A$6:$A$9,$A16,$L$6:$L$9)</f>
        <v>75</v>
      </c>
      <c r="E16" s="19">
        <f>$D16-$B16</f>
        <v>4.1666666666666856</v>
      </c>
      <c r="G16" s="9" t="s">
        <v>177</v>
      </c>
      <c r="H16" s="9"/>
      <c r="I16" s="9"/>
      <c r="J16" s="9"/>
      <c r="K16" s="9"/>
    </row>
    <row r="17" spans="1:7" x14ac:dyDescent="0.25">
      <c r="G17" t="s">
        <v>178</v>
      </c>
    </row>
    <row r="18" spans="1:7" ht="72.75" x14ac:dyDescent="0.25">
      <c r="A18" s="7" t="s">
        <v>37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000F-7628-417C-9741-92CEAC46B81F}">
  <dimension ref="A1:AD12"/>
  <sheetViews>
    <sheetView showGridLines="0" tabSelected="1" workbookViewId="0">
      <pane ySplit="5" topLeftCell="A6" activePane="bottomLeft" state="frozen"/>
      <selection pane="bottomLeft" activeCell="AB12" sqref="AB12"/>
    </sheetView>
  </sheetViews>
  <sheetFormatPr defaultRowHeight="15" x14ac:dyDescent="0.25"/>
  <cols>
    <col min="1" max="1" width="11" customWidth="1"/>
    <col min="2" max="2" width="12" customWidth="1"/>
    <col min="3" max="3" width="16" customWidth="1"/>
    <col min="4" max="4" width="18" customWidth="1"/>
    <col min="5" max="5" width="13" customWidth="1"/>
    <col min="6" max="6" width="10" customWidth="1"/>
    <col min="7" max="7" width="15" customWidth="1"/>
    <col min="8" max="9" width="12" customWidth="1"/>
    <col min="10" max="11" width="17" customWidth="1"/>
    <col min="12" max="12" width="18" customWidth="1"/>
    <col min="13" max="14" width="14" customWidth="1"/>
    <col min="15" max="18" width="16" customWidth="1"/>
    <col min="19" max="19" width="15" customWidth="1"/>
    <col min="20" max="20" width="13" customWidth="1"/>
    <col min="21" max="21" width="14" customWidth="1"/>
    <col min="22" max="22" width="18" customWidth="1"/>
    <col min="23" max="23" width="22" customWidth="1"/>
    <col min="24" max="24" width="14" customWidth="1"/>
    <col min="25" max="25" width="14" style="20" customWidth="1"/>
    <col min="26" max="26" width="18" customWidth="1"/>
    <col min="27" max="27" width="20" customWidth="1"/>
    <col min="28" max="28" width="14" customWidth="1"/>
    <col min="29" max="29" width="13" customWidth="1"/>
    <col min="30" max="30" width="16" customWidth="1"/>
  </cols>
  <sheetData>
    <row r="1" spans="1:30" ht="30" hidden="1" customHeight="1" x14ac:dyDescent="0.25">
      <c r="A1" s="1" t="s">
        <v>84</v>
      </c>
    </row>
    <row r="2" spans="1:30" ht="38.1" customHeight="1" x14ac:dyDescent="0.25">
      <c r="A2" s="2"/>
    </row>
    <row r="3" spans="1:30" x14ac:dyDescent="0.25">
      <c r="A3" s="35" t="s">
        <v>181</v>
      </c>
      <c r="B3" s="35"/>
      <c r="C3" s="35"/>
      <c r="D3" s="35"/>
      <c r="E3" s="35"/>
      <c r="F3" s="35"/>
      <c r="G3" s="35"/>
      <c r="H3" s="35"/>
      <c r="I3" s="35"/>
      <c r="J3" s="33" t="s">
        <v>180</v>
      </c>
      <c r="K3" s="33"/>
      <c r="L3" s="33"/>
      <c r="M3" s="33"/>
      <c r="N3" s="33"/>
      <c r="O3" s="32" t="s">
        <v>179</v>
      </c>
      <c r="P3" s="32"/>
      <c r="Q3" s="32"/>
      <c r="R3" s="32"/>
      <c r="S3" s="44" t="s">
        <v>182</v>
      </c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</row>
    <row r="4" spans="1:30" ht="15.75" thickBot="1" x14ac:dyDescent="0.3">
      <c r="H4" s="31"/>
      <c r="O4" s="31"/>
      <c r="P4" s="31"/>
      <c r="Q4" s="31"/>
      <c r="R4" s="31"/>
      <c r="S4" s="30"/>
      <c r="V4" s="30"/>
      <c r="W4" s="30"/>
      <c r="X4" s="30"/>
      <c r="Y4" s="30"/>
      <c r="Z4" s="30"/>
      <c r="AA4" s="30"/>
      <c r="AB4" s="30"/>
      <c r="AC4" s="30"/>
      <c r="AD4" s="30"/>
    </row>
    <row r="5" spans="1:30" ht="33.950000000000003" customHeight="1" thickBot="1" x14ac:dyDescent="0.3">
      <c r="A5" s="34" t="s">
        <v>40</v>
      </c>
      <c r="B5" s="34" t="s">
        <v>42</v>
      </c>
      <c r="C5" s="34" t="s">
        <v>43</v>
      </c>
      <c r="D5" s="34" t="s">
        <v>41</v>
      </c>
      <c r="E5" s="34" t="s">
        <v>45</v>
      </c>
      <c r="F5" s="34" t="s">
        <v>46</v>
      </c>
      <c r="G5" s="34" t="s">
        <v>47</v>
      </c>
      <c r="H5" s="34" t="s">
        <v>87</v>
      </c>
      <c r="I5" s="34" t="s">
        <v>88</v>
      </c>
      <c r="J5" s="21" t="s">
        <v>89</v>
      </c>
      <c r="K5" s="21" t="s">
        <v>90</v>
      </c>
      <c r="L5" s="21" t="s">
        <v>91</v>
      </c>
      <c r="M5" s="21" t="s">
        <v>92</v>
      </c>
      <c r="N5" s="21" t="s">
        <v>93</v>
      </c>
      <c r="O5" s="22" t="s">
        <v>102</v>
      </c>
      <c r="P5" s="22" t="s">
        <v>103</v>
      </c>
      <c r="Q5" s="22" t="s">
        <v>104</v>
      </c>
      <c r="R5" s="22" t="s">
        <v>105</v>
      </c>
      <c r="S5" s="23" t="s">
        <v>113</v>
      </c>
      <c r="T5" s="21" t="s">
        <v>94</v>
      </c>
      <c r="U5" s="21" t="s">
        <v>95</v>
      </c>
      <c r="V5" s="21" t="s">
        <v>96</v>
      </c>
      <c r="W5" s="22" t="s">
        <v>106</v>
      </c>
      <c r="X5" s="22" t="s">
        <v>94</v>
      </c>
      <c r="Y5" s="22" t="s">
        <v>107</v>
      </c>
      <c r="Z5" s="22" t="s">
        <v>108</v>
      </c>
      <c r="AA5" s="23" t="s">
        <v>114</v>
      </c>
      <c r="AB5" s="23" t="s">
        <v>93</v>
      </c>
      <c r="AC5" s="23" t="s">
        <v>94</v>
      </c>
      <c r="AD5" s="23" t="s">
        <v>115</v>
      </c>
    </row>
    <row r="6" spans="1:30" x14ac:dyDescent="0.25">
      <c r="A6" s="6">
        <v>1</v>
      </c>
      <c r="B6" s="6" t="s">
        <v>51</v>
      </c>
      <c r="C6" s="6" t="s">
        <v>52</v>
      </c>
      <c r="D6" s="13">
        <v>46023.333333333343</v>
      </c>
      <c r="E6" s="6" t="s">
        <v>54</v>
      </c>
      <c r="F6" s="36">
        <v>10</v>
      </c>
      <c r="G6" s="37">
        <v>400</v>
      </c>
      <c r="H6" s="38">
        <f t="shared" ref="H6:H12" si="0">IF($E6="Alış",$F6,0)</f>
        <v>10</v>
      </c>
      <c r="I6" s="38">
        <f t="shared" ref="I6:I12" si="1">IF($E6&lt;&gt;"Alış",$F6,0)</f>
        <v>0</v>
      </c>
      <c r="J6" s="41">
        <f t="shared" ref="J6:J12" si="2">IF($B6=$B5,$T5,0)</f>
        <v>0</v>
      </c>
      <c r="K6" s="42">
        <f t="shared" ref="K6:K12" si="3">IF($B6=$B5,$U5,0)</f>
        <v>0</v>
      </c>
      <c r="L6" s="42">
        <f t="shared" ref="L6:L12" si="4">IF($J6=0,0,$K6/$J6)</f>
        <v>0</v>
      </c>
      <c r="M6" s="42">
        <f t="shared" ref="M6:M12" si="5">$H6*$G6</f>
        <v>4000</v>
      </c>
      <c r="N6" s="42">
        <f t="shared" ref="N6:N12" si="6">$I6*$L6</f>
        <v>0</v>
      </c>
      <c r="O6" s="43">
        <f t="shared" ref="O6:O12" si="7">IF($B6=$B5,$P5,0)</f>
        <v>0</v>
      </c>
      <c r="P6" s="43">
        <f t="shared" ref="P6:P12" si="8">$O6+$H6</f>
        <v>10</v>
      </c>
      <c r="Q6" s="43">
        <f t="shared" ref="Q6:Q12" si="9">IF($B6=$B5,$R5,0)</f>
        <v>0</v>
      </c>
      <c r="R6" s="43">
        <f t="shared" ref="R6:R12" si="10">$Q6+$I6</f>
        <v>0</v>
      </c>
      <c r="S6" s="45">
        <f>IF($B6=$B5,$AA5,0)</f>
        <v>0</v>
      </c>
      <c r="T6" s="41">
        <f t="shared" ref="T6:T12" si="11">$J6+$H6-$I6</f>
        <v>10</v>
      </c>
      <c r="U6" s="42">
        <f t="shared" ref="U6:U12" si="12">$K6+$M6-$N6</f>
        <v>4000</v>
      </c>
      <c r="V6" s="42">
        <f t="shared" ref="V6:V12" si="13">IF($T6=0,0,$U6/$T6)</f>
        <v>400</v>
      </c>
      <c r="W6" s="46">
        <f>IF($I6=0,0,SUMPRODUCT(($B$6:$B6=$B6)*($H$6:$H6&gt;0)*($G$6:$G6)*(IF($P$6:$P6&lt;$R6,$P$6:$P6,$R6)-IF($O$6:$O6&gt;$Q6,$O$6:$O6,$Q6))*--((IF($P$6:$P6&lt;$R6,$P$6:$P6,$R6)-IF($O$6:$O6&gt;$Q6,$O$6:$O6,$Q6))&gt;0)))</f>
        <v>0</v>
      </c>
      <c r="X6" s="46">
        <f t="shared" ref="X6:X12" si="14">IF($B6=$B5,$X5,0)+$H6-$I6</f>
        <v>10</v>
      </c>
      <c r="Y6" s="46">
        <f t="shared" ref="Y6:Y12" si="15">IF($B6=$B5,$Y5,0)+$H6*$G6-$W6</f>
        <v>4000</v>
      </c>
      <c r="Z6" s="46">
        <f t="shared" ref="Z6:Z12" si="16">IF($X6=0,0,$Y6/$X6)</f>
        <v>400</v>
      </c>
      <c r="AA6" s="19">
        <f>IF($E6="Alış",$G6,$S6)</f>
        <v>400</v>
      </c>
      <c r="AB6" s="19">
        <f>$I6*$AA6</f>
        <v>0</v>
      </c>
      <c r="AC6" s="18">
        <f>IF($B6=$B5,$AC5,0)+$H6-$I6</f>
        <v>10</v>
      </c>
      <c r="AD6" s="19">
        <f>$AC6*$AA6</f>
        <v>4000</v>
      </c>
    </row>
    <row r="7" spans="1:30" x14ac:dyDescent="0.25">
      <c r="A7" s="6">
        <v>2</v>
      </c>
      <c r="B7" s="6" t="s">
        <v>51</v>
      </c>
      <c r="C7" s="6" t="s">
        <v>52</v>
      </c>
      <c r="D7" s="13">
        <v>46023.770833333343</v>
      </c>
      <c r="E7" s="6" t="s">
        <v>58</v>
      </c>
      <c r="F7" s="39">
        <v>3</v>
      </c>
      <c r="G7" s="40"/>
      <c r="H7" s="38">
        <f t="shared" si="0"/>
        <v>0</v>
      </c>
      <c r="I7" s="38">
        <f t="shared" si="1"/>
        <v>3</v>
      </c>
      <c r="J7" s="41">
        <f t="shared" si="2"/>
        <v>10</v>
      </c>
      <c r="K7" s="42">
        <f t="shared" si="3"/>
        <v>4000</v>
      </c>
      <c r="L7" s="42">
        <f t="shared" si="4"/>
        <v>400</v>
      </c>
      <c r="M7" s="42">
        <f t="shared" si="5"/>
        <v>0</v>
      </c>
      <c r="N7" s="42">
        <f t="shared" si="6"/>
        <v>1200</v>
      </c>
      <c r="O7" s="43">
        <f t="shared" si="7"/>
        <v>10</v>
      </c>
      <c r="P7" s="43">
        <f t="shared" si="8"/>
        <v>10</v>
      </c>
      <c r="Q7" s="43">
        <f t="shared" si="9"/>
        <v>0</v>
      </c>
      <c r="R7" s="43">
        <f t="shared" si="10"/>
        <v>3</v>
      </c>
      <c r="S7" s="45">
        <f t="shared" ref="S7:S12" si="17">IF($B7=$B6,$AA6,0)</f>
        <v>400</v>
      </c>
      <c r="T7" s="41">
        <f t="shared" si="11"/>
        <v>7</v>
      </c>
      <c r="U7" s="42">
        <f t="shared" si="12"/>
        <v>2800</v>
      </c>
      <c r="V7" s="42">
        <f t="shared" si="13"/>
        <v>400</v>
      </c>
      <c r="W7" s="46">
        <f>IF($I7=0,0,SUMPRODUCT(($B$6:$B7=$B7)*($H$6:$H7&gt;0)*($G$6:$G7)*(IF($P$6:$P7&lt;$R7,$P$6:$P7,$R7)-IF($O$6:$O7&gt;$Q7,$O$6:$O7,$Q7))*--((IF($P$6:$P7&lt;$R7,$P$6:$P7,$R7)-IF($O$6:$O7&gt;$Q7,$O$6:$O7,$Q7))&gt;0)))</f>
        <v>1200</v>
      </c>
      <c r="X7" s="46">
        <f t="shared" si="14"/>
        <v>7</v>
      </c>
      <c r="Y7" s="46">
        <f t="shared" si="15"/>
        <v>2800</v>
      </c>
      <c r="Z7" s="46">
        <f t="shared" si="16"/>
        <v>400</v>
      </c>
      <c r="AA7" s="19">
        <f t="shared" ref="AA7:AA12" si="18">IF($E7="Alış",$G7,$S7)</f>
        <v>400</v>
      </c>
      <c r="AB7" s="19">
        <f t="shared" ref="AB7:AB12" si="19">$I7*$AA7</f>
        <v>1200</v>
      </c>
      <c r="AC7" s="18">
        <f t="shared" ref="AC7:AC12" si="20">IF($B7=$B6,$AC6,0)+$H7-$I7</f>
        <v>7</v>
      </c>
      <c r="AD7" s="19">
        <f t="shared" ref="AD7:AD12" si="21">$AC7*$AA7</f>
        <v>2800</v>
      </c>
    </row>
    <row r="8" spans="1:30" x14ac:dyDescent="0.25">
      <c r="A8" s="6">
        <v>3</v>
      </c>
      <c r="B8" s="6" t="s">
        <v>51</v>
      </c>
      <c r="C8" s="6" t="s">
        <v>52</v>
      </c>
      <c r="D8" s="13">
        <v>46024.385416666657</v>
      </c>
      <c r="E8" s="6" t="s">
        <v>54</v>
      </c>
      <c r="F8" s="36">
        <v>20</v>
      </c>
      <c r="G8" s="37">
        <v>460</v>
      </c>
      <c r="H8" s="38">
        <f t="shared" si="0"/>
        <v>20</v>
      </c>
      <c r="I8" s="38">
        <f t="shared" si="1"/>
        <v>0</v>
      </c>
      <c r="J8" s="41">
        <f t="shared" si="2"/>
        <v>7</v>
      </c>
      <c r="K8" s="42">
        <f t="shared" si="3"/>
        <v>2800</v>
      </c>
      <c r="L8" s="42">
        <f t="shared" si="4"/>
        <v>400</v>
      </c>
      <c r="M8" s="42">
        <f t="shared" si="5"/>
        <v>9200</v>
      </c>
      <c r="N8" s="42">
        <f t="shared" si="6"/>
        <v>0</v>
      </c>
      <c r="O8" s="43">
        <f t="shared" si="7"/>
        <v>10</v>
      </c>
      <c r="P8" s="43">
        <f t="shared" si="8"/>
        <v>30</v>
      </c>
      <c r="Q8" s="43">
        <f t="shared" si="9"/>
        <v>3</v>
      </c>
      <c r="R8" s="43">
        <f t="shared" si="10"/>
        <v>3</v>
      </c>
      <c r="S8" s="45">
        <f t="shared" si="17"/>
        <v>400</v>
      </c>
      <c r="T8" s="41">
        <f t="shared" si="11"/>
        <v>27</v>
      </c>
      <c r="U8" s="42">
        <f t="shared" si="12"/>
        <v>12000</v>
      </c>
      <c r="V8" s="42">
        <f t="shared" si="13"/>
        <v>444.44444444444446</v>
      </c>
      <c r="W8" s="46">
        <f>IF($I8=0,0,SUMPRODUCT(($B$6:$B8=$B8)*($H$6:$H8&gt;0)*($G$6:$G8)*(IF($P$6:$P8&lt;$R8,$P$6:$P8,$R8)-IF($O$6:$O8&gt;$Q8,$O$6:$O8,$Q8))*--((IF($P$6:$P8&lt;$R8,$P$6:$P8,$R8)-IF($O$6:$O8&gt;$Q8,$O$6:$O8,$Q8))&gt;0)))</f>
        <v>0</v>
      </c>
      <c r="X8" s="46">
        <f t="shared" si="14"/>
        <v>27</v>
      </c>
      <c r="Y8" s="46">
        <f t="shared" si="15"/>
        <v>12000</v>
      </c>
      <c r="Z8" s="46">
        <f t="shared" si="16"/>
        <v>444.44444444444446</v>
      </c>
      <c r="AA8" s="19">
        <f t="shared" si="18"/>
        <v>460</v>
      </c>
      <c r="AB8" s="19">
        <f t="shared" si="19"/>
        <v>0</v>
      </c>
      <c r="AC8" s="18">
        <f t="shared" si="20"/>
        <v>27</v>
      </c>
      <c r="AD8" s="19">
        <f t="shared" si="21"/>
        <v>12420</v>
      </c>
    </row>
    <row r="9" spans="1:30" x14ac:dyDescent="0.25">
      <c r="A9" s="6">
        <v>4</v>
      </c>
      <c r="B9" s="6" t="s">
        <v>51</v>
      </c>
      <c r="C9" s="6" t="s">
        <v>52</v>
      </c>
      <c r="D9" s="13">
        <v>46024.791666666657</v>
      </c>
      <c r="E9" s="6" t="s">
        <v>58</v>
      </c>
      <c r="F9" s="39">
        <v>12</v>
      </c>
      <c r="G9" s="40"/>
      <c r="H9" s="38">
        <f t="shared" si="0"/>
        <v>0</v>
      </c>
      <c r="I9" s="38">
        <f t="shared" si="1"/>
        <v>12</v>
      </c>
      <c r="J9" s="41">
        <f t="shared" si="2"/>
        <v>27</v>
      </c>
      <c r="K9" s="42">
        <f t="shared" si="3"/>
        <v>12000</v>
      </c>
      <c r="L9" s="42">
        <f t="shared" si="4"/>
        <v>444.44444444444446</v>
      </c>
      <c r="M9" s="42">
        <f t="shared" si="5"/>
        <v>0</v>
      </c>
      <c r="N9" s="42">
        <f t="shared" si="6"/>
        <v>5333.3333333333339</v>
      </c>
      <c r="O9" s="43">
        <f t="shared" si="7"/>
        <v>30</v>
      </c>
      <c r="P9" s="43">
        <f t="shared" si="8"/>
        <v>30</v>
      </c>
      <c r="Q9" s="43">
        <f t="shared" si="9"/>
        <v>3</v>
      </c>
      <c r="R9" s="43">
        <f t="shared" si="10"/>
        <v>15</v>
      </c>
      <c r="S9" s="45">
        <f t="shared" si="17"/>
        <v>460</v>
      </c>
      <c r="T9" s="41">
        <f t="shared" si="11"/>
        <v>15</v>
      </c>
      <c r="U9" s="42">
        <f t="shared" si="12"/>
        <v>6666.6666666666661</v>
      </c>
      <c r="V9" s="42">
        <f t="shared" si="13"/>
        <v>444.4444444444444</v>
      </c>
      <c r="W9" s="46">
        <f>IF($I9=0,0,SUMPRODUCT(($B$6:$B9=$B9)*($H$6:$H9&gt;0)*($G$6:$G9)*(IF($P$6:$P9&lt;$R9,$P$6:$P9,$R9)-IF($O$6:$O9&gt;$Q9,$O$6:$O9,$Q9))*--((IF($P$6:$P9&lt;$R9,$P$6:$P9,$R9)-IF($O$6:$O9&gt;$Q9,$O$6:$O9,$Q9))&gt;0)))</f>
        <v>8300</v>
      </c>
      <c r="X9" s="46">
        <f t="shared" si="14"/>
        <v>15</v>
      </c>
      <c r="Y9" s="46">
        <f t="shared" si="15"/>
        <v>3700</v>
      </c>
      <c r="Z9" s="46">
        <f t="shared" si="16"/>
        <v>246.66666666666666</v>
      </c>
      <c r="AA9" s="19">
        <f t="shared" si="18"/>
        <v>460</v>
      </c>
      <c r="AB9" s="19">
        <f t="shared" si="19"/>
        <v>5520</v>
      </c>
      <c r="AC9" s="18">
        <f t="shared" si="20"/>
        <v>15</v>
      </c>
      <c r="AD9" s="19">
        <f t="shared" si="21"/>
        <v>6900</v>
      </c>
    </row>
    <row r="10" spans="1:30" x14ac:dyDescent="0.25">
      <c r="A10" s="6">
        <v>5</v>
      </c>
      <c r="B10" s="6" t="s">
        <v>51</v>
      </c>
      <c r="C10" s="6" t="s">
        <v>52</v>
      </c>
      <c r="D10" s="13">
        <v>46025.388888888891</v>
      </c>
      <c r="E10" s="6" t="s">
        <v>54</v>
      </c>
      <c r="F10" s="36">
        <v>15</v>
      </c>
      <c r="G10" s="37">
        <v>500</v>
      </c>
      <c r="H10" s="38">
        <f t="shared" si="0"/>
        <v>15</v>
      </c>
      <c r="I10" s="38">
        <f t="shared" si="1"/>
        <v>0</v>
      </c>
      <c r="J10" s="41">
        <f t="shared" si="2"/>
        <v>15</v>
      </c>
      <c r="K10" s="42">
        <f t="shared" si="3"/>
        <v>6666.6666666666661</v>
      </c>
      <c r="L10" s="42">
        <f t="shared" si="4"/>
        <v>444.4444444444444</v>
      </c>
      <c r="M10" s="42">
        <f t="shared" si="5"/>
        <v>7500</v>
      </c>
      <c r="N10" s="42">
        <f t="shared" si="6"/>
        <v>0</v>
      </c>
      <c r="O10" s="43">
        <f t="shared" si="7"/>
        <v>30</v>
      </c>
      <c r="P10" s="43">
        <f t="shared" si="8"/>
        <v>45</v>
      </c>
      <c r="Q10" s="43">
        <f t="shared" si="9"/>
        <v>15</v>
      </c>
      <c r="R10" s="43">
        <f t="shared" si="10"/>
        <v>15</v>
      </c>
      <c r="S10" s="45">
        <f t="shared" si="17"/>
        <v>460</v>
      </c>
      <c r="T10" s="41">
        <f t="shared" si="11"/>
        <v>30</v>
      </c>
      <c r="U10" s="42">
        <f t="shared" si="12"/>
        <v>14166.666666666666</v>
      </c>
      <c r="V10" s="42">
        <f t="shared" si="13"/>
        <v>472.22222222222223</v>
      </c>
      <c r="W10" s="46">
        <f>IF($I10=0,0,SUMPRODUCT(($B$6:$B10=$B10)*($H$6:$H10&gt;0)*($G$6:$G10)*(IF($P$6:$P10&lt;$R10,$P$6:$P10,$R10)-IF($O$6:$O10&gt;$Q10,$O$6:$O10,$Q10))*--((IF($P$6:$P10&lt;$R10,$P$6:$P10,$R10)-IF($O$6:$O10&gt;$Q10,$O$6:$O10,$Q10))&gt;0)))</f>
        <v>0</v>
      </c>
      <c r="X10" s="46">
        <f t="shared" si="14"/>
        <v>30</v>
      </c>
      <c r="Y10" s="46">
        <f t="shared" si="15"/>
        <v>11200</v>
      </c>
      <c r="Z10" s="46">
        <f t="shared" si="16"/>
        <v>373.33333333333331</v>
      </c>
      <c r="AA10" s="19">
        <f t="shared" si="18"/>
        <v>500</v>
      </c>
      <c r="AB10" s="19">
        <f t="shared" si="19"/>
        <v>0</v>
      </c>
      <c r="AC10" s="18">
        <f t="shared" si="20"/>
        <v>30</v>
      </c>
      <c r="AD10" s="19">
        <f t="shared" si="21"/>
        <v>15000</v>
      </c>
    </row>
    <row r="11" spans="1:30" x14ac:dyDescent="0.25">
      <c r="A11" s="6">
        <v>6</v>
      </c>
      <c r="B11" s="6" t="s">
        <v>51</v>
      </c>
      <c r="C11" s="6" t="s">
        <v>52</v>
      </c>
      <c r="D11" s="13">
        <v>46025.881944444453</v>
      </c>
      <c r="E11" s="6" t="s">
        <v>58</v>
      </c>
      <c r="F11" s="39">
        <v>18</v>
      </c>
      <c r="G11" s="40"/>
      <c r="H11" s="38">
        <f t="shared" si="0"/>
        <v>0</v>
      </c>
      <c r="I11" s="38">
        <f t="shared" si="1"/>
        <v>18</v>
      </c>
      <c r="J11" s="41">
        <f t="shared" si="2"/>
        <v>30</v>
      </c>
      <c r="K11" s="42">
        <f t="shared" si="3"/>
        <v>14166.666666666666</v>
      </c>
      <c r="L11" s="42">
        <f t="shared" si="4"/>
        <v>472.22222222222223</v>
      </c>
      <c r="M11" s="42">
        <f t="shared" si="5"/>
        <v>0</v>
      </c>
      <c r="N11" s="42">
        <f t="shared" si="6"/>
        <v>8500</v>
      </c>
      <c r="O11" s="43">
        <f t="shared" si="7"/>
        <v>45</v>
      </c>
      <c r="P11" s="43">
        <f t="shared" si="8"/>
        <v>45</v>
      </c>
      <c r="Q11" s="43">
        <f t="shared" si="9"/>
        <v>15</v>
      </c>
      <c r="R11" s="43">
        <f t="shared" si="10"/>
        <v>33</v>
      </c>
      <c r="S11" s="45">
        <f t="shared" si="17"/>
        <v>500</v>
      </c>
      <c r="T11" s="41">
        <f t="shared" si="11"/>
        <v>12</v>
      </c>
      <c r="U11" s="42">
        <f t="shared" si="12"/>
        <v>5666.6666666666661</v>
      </c>
      <c r="V11" s="42">
        <f t="shared" si="13"/>
        <v>472.22222222222217</v>
      </c>
      <c r="W11" s="46">
        <f>IF($I11=0,0,SUMPRODUCT(($B$6:$B11=$B11)*($H$6:$H11&gt;0)*($G$6:$G11)*(IF($P$6:$P11&lt;$R11,$P$6:$P11,$R11)-IF($O$6:$O11&gt;$Q11,$O$6:$O11,$Q11))*--((IF($P$6:$P11&lt;$R11,$P$6:$P11,$R11)-IF($O$6:$O11&gt;$Q11,$O$6:$O11,$Q11))&gt;0)))</f>
        <v>25280</v>
      </c>
      <c r="X11" s="46">
        <f t="shared" si="14"/>
        <v>12</v>
      </c>
      <c r="Y11" s="46">
        <f t="shared" si="15"/>
        <v>-14080</v>
      </c>
      <c r="Z11" s="46">
        <f t="shared" si="16"/>
        <v>-1173.3333333333333</v>
      </c>
      <c r="AA11" s="19">
        <f t="shared" si="18"/>
        <v>500</v>
      </c>
      <c r="AB11" s="19">
        <f t="shared" si="19"/>
        <v>9000</v>
      </c>
      <c r="AC11" s="18">
        <f t="shared" si="20"/>
        <v>12</v>
      </c>
      <c r="AD11" s="19">
        <f t="shared" si="21"/>
        <v>6000</v>
      </c>
    </row>
    <row r="12" spans="1:30" x14ac:dyDescent="0.25">
      <c r="A12" s="6">
        <v>7</v>
      </c>
      <c r="B12" s="6" t="s">
        <v>51</v>
      </c>
      <c r="C12" s="6" t="s">
        <v>52</v>
      </c>
      <c r="D12" s="13">
        <v>46026.458333333343</v>
      </c>
      <c r="E12" s="6" t="s">
        <v>70</v>
      </c>
      <c r="F12" s="39">
        <v>1</v>
      </c>
      <c r="G12" s="40"/>
      <c r="H12" s="38">
        <f t="shared" si="0"/>
        <v>0</v>
      </c>
      <c r="I12" s="38">
        <f t="shared" si="1"/>
        <v>1</v>
      </c>
      <c r="J12" s="41">
        <f t="shared" si="2"/>
        <v>12</v>
      </c>
      <c r="K12" s="42">
        <f t="shared" si="3"/>
        <v>5666.6666666666661</v>
      </c>
      <c r="L12" s="42">
        <f t="shared" si="4"/>
        <v>472.22222222222217</v>
      </c>
      <c r="M12" s="42">
        <f t="shared" si="5"/>
        <v>0</v>
      </c>
      <c r="N12" s="42">
        <f t="shared" si="6"/>
        <v>472.22222222222217</v>
      </c>
      <c r="O12" s="43">
        <f t="shared" si="7"/>
        <v>45</v>
      </c>
      <c r="P12" s="43">
        <f t="shared" si="8"/>
        <v>45</v>
      </c>
      <c r="Q12" s="43">
        <f t="shared" si="9"/>
        <v>33</v>
      </c>
      <c r="R12" s="43">
        <f t="shared" si="10"/>
        <v>34</v>
      </c>
      <c r="S12" s="45">
        <f t="shared" si="17"/>
        <v>500</v>
      </c>
      <c r="T12" s="41">
        <f t="shared" si="11"/>
        <v>11</v>
      </c>
      <c r="U12" s="42">
        <f t="shared" si="12"/>
        <v>5194.4444444444434</v>
      </c>
      <c r="V12" s="42">
        <f t="shared" si="13"/>
        <v>472.22222222222211</v>
      </c>
      <c r="W12" s="46">
        <f>IF($I12=0,0,SUMPRODUCT(($B$6:$B12=$B12)*($H$6:$H12&gt;0)*($G$6:$G12)*(IF($P$6:$P12&lt;$R12,$P$6:$P12,$R12)-IF($O$6:$O12&gt;$Q12,$O$6:$O12,$Q12))*--((IF($P$6:$P12&lt;$R12,$P$6:$P12,$R12)-IF($O$6:$O12&gt;$Q12,$O$6:$O12,$Q12))&gt;0)))</f>
        <v>26640</v>
      </c>
      <c r="X12" s="46">
        <f t="shared" si="14"/>
        <v>11</v>
      </c>
      <c r="Y12" s="46">
        <f t="shared" si="15"/>
        <v>-40720</v>
      </c>
      <c r="Z12" s="46">
        <f t="shared" si="16"/>
        <v>-3701.818181818182</v>
      </c>
      <c r="AA12" s="19">
        <f t="shared" si="18"/>
        <v>500</v>
      </c>
      <c r="AB12" s="19">
        <f t="shared" si="19"/>
        <v>500</v>
      </c>
      <c r="AC12" s="18">
        <f t="shared" si="20"/>
        <v>11</v>
      </c>
      <c r="AD12" s="19">
        <f t="shared" si="21"/>
        <v>5500</v>
      </c>
    </row>
  </sheetData>
  <mergeCells count="3">
    <mergeCell ref="O3:R3"/>
    <mergeCell ref="J3:N3"/>
    <mergeCell ref="A3:I3"/>
  </mergeCells>
  <conditionalFormatting sqref="T6:T12">
    <cfRule type="cellIs" dxfId="1" priority="2" operator="lessThan">
      <formula>0</formula>
    </cfRule>
  </conditionalFormatting>
  <conditionalFormatting sqref="AC6:AC12">
    <cfRule type="cellIs" dxfId="0" priority="1" operator="lessThan">
      <formula>0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00_Ozet</vt:lpstr>
      <vt:lpstr>01_Ham_Veri</vt:lpstr>
      <vt:lpstr>02_Agirlikli_Ortalama</vt:lpstr>
      <vt:lpstr>03_FIFO</vt:lpstr>
      <vt:lpstr>04_Son_Alis</vt:lpstr>
      <vt:lpstr>05_Buyuk_Data_Rehberi</vt:lpstr>
      <vt:lpstr>06_Recete_Maliyeti</vt:lpstr>
      <vt:lpstr>muzo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Muzaffer Seyranlı</cp:lastModifiedBy>
  <dcterms:created xsi:type="dcterms:W3CDTF">2026-06-11T13:00:48Z</dcterms:created>
  <dcterms:modified xsi:type="dcterms:W3CDTF">2026-06-11T16:45:58Z</dcterms:modified>
</cp:coreProperties>
</file>